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ales Data" sheetId="1" r:id="rId4"/>
    <sheet state="visible" name="Cleaned Data" sheetId="2" r:id="rId5"/>
    <sheet state="visible" name="Inventory Data" sheetId="3" r:id="rId6"/>
    <sheet state="visible" name="Purchase Data" sheetId="4" r:id="rId7"/>
    <sheet state="visible" name="Calculations" sheetId="5" r:id="rId8"/>
    <sheet state="visible" name="Visuals" sheetId="6" r:id="rId9"/>
  </sheets>
  <definedNames/>
  <calcPr/>
  <extLst>
    <ext uri="GoogleSheetsCustomDataVersion2">
      <go:sheetsCustomData xmlns:go="http://customooxmlschemas.google.com/" r:id="rId10" roundtripDataChecksum="zc1Jt1lLf+74PL3twk7tTamuC21kCB/8Mf6qmXd3lSc="/>
    </ext>
  </extLst>
</workbook>
</file>

<file path=xl/sharedStrings.xml><?xml version="1.0" encoding="utf-8"?>
<sst xmlns="http://schemas.openxmlformats.org/spreadsheetml/2006/main" count="4127" uniqueCount="395">
  <si>
    <t>Date</t>
  </si>
  <si>
    <t>Product</t>
  </si>
  <si>
    <t>Category</t>
  </si>
  <si>
    <t>Quantity</t>
  </si>
  <si>
    <t>Unit</t>
  </si>
  <si>
    <t>Cost Price</t>
  </si>
  <si>
    <t>Selling Price</t>
  </si>
  <si>
    <t>Revenue</t>
  </si>
  <si>
    <t>Profit</t>
  </si>
  <si>
    <t xml:space="preserve">Margin </t>
  </si>
  <si>
    <t>01-08-2025</t>
  </si>
  <si>
    <t>UltraTech</t>
  </si>
  <si>
    <t>Cement</t>
  </si>
  <si>
    <t>Bag</t>
  </si>
  <si>
    <t>Nuvoco</t>
  </si>
  <si>
    <t>JSW</t>
  </si>
  <si>
    <t>02-08-2025</t>
  </si>
  <si>
    <t>Stirrup_Square</t>
  </si>
  <si>
    <t>Stirrups</t>
  </si>
  <si>
    <t>Pcs</t>
  </si>
  <si>
    <t>Stirrup_Circular</t>
  </si>
  <si>
    <t>Binding_Wire</t>
  </si>
  <si>
    <t>Wire</t>
  </si>
  <si>
    <t>Kg</t>
  </si>
  <si>
    <t>TMT_10mm</t>
  </si>
  <si>
    <t>TMT_Bars</t>
  </si>
  <si>
    <t>Primer</t>
  </si>
  <si>
    <t>Liters</t>
  </si>
  <si>
    <t>03-08-2025</t>
  </si>
  <si>
    <t>Paint</t>
  </si>
  <si>
    <t>Stirrup_Rect</t>
  </si>
  <si>
    <t>04-08-2025</t>
  </si>
  <si>
    <t>TMT_12mm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</si>
  <si>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</si>
  <si>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</si>
  <si>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</si>
  <si>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</si>
  <si>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</si>
  <si>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</si>
  <si>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</si>
  <si>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Concreto</t>
  </si>
  <si>
    <t>12-08-2025</t>
  </si>
  <si>
    <t>Tarpaulin_Cover</t>
  </si>
  <si>
    <t>Cover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</si>
  <si>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</si>
  <si>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</si>
  <si>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</si>
  <si>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</si>
  <si>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</si>
  <si>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</si>
  <si>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</si>
  <si>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</si>
  <si>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</si>
  <si>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</si>
  <si>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</si>
  <si>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</si>
  <si>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</si>
  <si>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</si>
  <si>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</si>
  <si>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</si>
  <si>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</si>
  <si>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</si>
  <si>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</si>
  <si>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</si>
  <si>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</si>
  <si>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</si>
  <si>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</si>
  <si>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</si>
  <si>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</si>
  <si>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</si>
  <si>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</si>
  <si>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</si>
  <si>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</si>
  <si>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</si>
  <si>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</si>
  <si>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</si>
  <si>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</si>
  <si>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</si>
  <si>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</si>
  <si>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</si>
  <si>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</si>
  <si>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</si>
  <si>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</si>
  <si>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</si>
  <si>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</si>
  <si>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TMT_8mm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</si>
  <si>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</si>
  <si>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</si>
  <si>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</si>
  <si>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</si>
  <si>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</si>
  <si>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</si>
  <si>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</si>
  <si>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03-10-2025</t>
  </si>
  <si>
    <t>04-10-2025</t>
  </si>
  <si>
    <t>05-10-2025</t>
  </si>
  <si>
    <t>06-10-2025</t>
  </si>
  <si>
    <t>07-10-2025</t>
  </si>
  <si>
    <t>08-10-2025</t>
  </si>
  <si>
    <t>stirrups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</si>
  <si>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</si>
  <si>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</si>
  <si>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</si>
  <si>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</si>
  <si>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</si>
  <si>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</si>
  <si>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</si>
  <si>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</si>
  <si>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</si>
  <si>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</si>
  <si>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</si>
  <si>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21-10-2025</t>
  </si>
  <si>
    <t>22-10-2025</t>
  </si>
  <si>
    <t>23-10-2025</t>
  </si>
  <si>
    <t>24-10-2025</t>
  </si>
  <si>
    <t>25-10-2025</t>
  </si>
  <si>
    <t>26-10-2025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</si>
  <si>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</si>
  <si>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</si>
  <si>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</si>
  <si>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</si>
  <si>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</si>
  <si>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</si>
  <si>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</si>
  <si>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</si>
  <si>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</si>
  <si>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</si>
  <si>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</si>
  <si>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</si>
  <si>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</si>
  <si>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</si>
  <si>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</si>
  <si>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</si>
  <si>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</si>
  <si>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</si>
  <si>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</si>
  <si>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</si>
  <si>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</si>
  <si>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</si>
  <si>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</si>
  <si>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</si>
  <si>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</si>
  <si>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</si>
  <si>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</si>
  <si>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</si>
  <si>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</si>
  <si>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</si>
  <si>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</si>
  <si>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</si>
  <si>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</si>
  <si>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</si>
  <si>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</si>
  <si>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</si>
  <si>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</si>
  <si>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</si>
  <si>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</si>
  <si>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</si>
  <si>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</si>
  <si>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</si>
  <si>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</si>
  <si>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</si>
  <si>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</si>
  <si>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</si>
  <si>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</si>
  <si>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</si>
  <si>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</si>
  <si>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</si>
  <si>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</si>
  <si>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</si>
  <si>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</si>
  <si>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</si>
  <si>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</si>
  <si>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</si>
  <si>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</si>
  <si>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</si>
  <si>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</si>
  <si>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</si>
  <si>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</si>
  <si>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</si>
  <si>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</si>
  <si>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</si>
  <si>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</si>
  <si>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</si>
  <si>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</si>
  <si>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</si>
  <si>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</si>
  <si>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</si>
  <si>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</si>
  <si>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</si>
  <si>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</si>
  <si>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</si>
  <si>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</si>
  <si>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</si>
  <si>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27-01-2026</t>
  </si>
  <si>
    <t>28-01-2026</t>
  </si>
  <si>
    <t>29-01-2026</t>
  </si>
  <si>
    <t>30-01-2026</t>
  </si>
  <si>
    <t>31-01-2026</t>
  </si>
  <si>
    <t>Cement(Bags)</t>
  </si>
  <si>
    <t>TMT Bars(kg)</t>
  </si>
  <si>
    <t>Stirrups(Pcs)</t>
  </si>
  <si>
    <t>Paint(Litres)</t>
  </si>
  <si>
    <t>Primer(Liters)</t>
  </si>
  <si>
    <t>Wire(Kg)</t>
  </si>
  <si>
    <t>Cover(Pcs)</t>
  </si>
  <si>
    <t>Month</t>
  </si>
  <si>
    <t>Nuvoco_Z</t>
  </si>
  <si>
    <t>Daily Total</t>
  </si>
  <si>
    <t>Aug 2025</t>
  </si>
  <si>
    <t>Sep 2025</t>
  </si>
  <si>
    <t>30-09-2025</t>
  </si>
  <si>
    <t>01-10-2025</t>
  </si>
  <si>
    <t>Oct 2025</t>
  </si>
  <si>
    <t>02-10-2025</t>
  </si>
  <si>
    <t>20-10-2025</t>
  </si>
  <si>
    <t>27-10-2025</t>
  </si>
  <si>
    <t>28-10-2025</t>
  </si>
  <si>
    <t>29-10-2025</t>
  </si>
  <si>
    <t>Nov 2025</t>
  </si>
  <si>
    <t>Dec 2025</t>
  </si>
  <si>
    <t>01-01-2026</t>
  </si>
  <si>
    <t>Jan 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</si>
  <si>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</si>
  <si>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</si>
  <si>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</si>
  <si>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</si>
  <si>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</si>
  <si>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</si>
  <si>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</si>
  <si>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</si>
  <si>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</si>
  <si>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</si>
  <si>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</si>
  <si>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26-01-2026</t>
  </si>
  <si>
    <t>skewness</t>
  </si>
  <si>
    <t>mean</t>
  </si>
  <si>
    <t>P95</t>
  </si>
  <si>
    <t>P90</t>
  </si>
  <si>
    <t>safety stock 90</t>
  </si>
  <si>
    <t>safety stock 95</t>
  </si>
  <si>
    <t>avg usage</t>
  </si>
  <si>
    <t>ROP 90 Percent</t>
  </si>
  <si>
    <t>ROP 95 Percent</t>
  </si>
  <si>
    <t>safety 90</t>
  </si>
  <si>
    <t>std dev</t>
  </si>
  <si>
    <t>MIN</t>
  </si>
  <si>
    <t>Q1(25%)</t>
  </si>
  <si>
    <t>Median</t>
  </si>
  <si>
    <t>Q3(75%)</t>
  </si>
  <si>
    <t>MAX</t>
  </si>
  <si>
    <t>TMT Bars(Kg)</t>
  </si>
  <si>
    <t>Stirrups(Pieces)</t>
  </si>
  <si>
    <t>Paint(Liters)</t>
  </si>
  <si>
    <t>Cover(Pieces)</t>
  </si>
  <si>
    <t>TMT 8mm</t>
  </si>
  <si>
    <t>TMT 10mm</t>
  </si>
  <si>
    <t>TMT 12mm</t>
  </si>
  <si>
    <t>Stirrup(Square)</t>
  </si>
  <si>
    <t>Stirrup(Circular)</t>
  </si>
  <si>
    <t>Stirrup(Rectangle)</t>
  </si>
  <si>
    <t>Paints</t>
  </si>
  <si>
    <t>Primers</t>
  </si>
  <si>
    <t>Binding Wire</t>
  </si>
  <si>
    <t>Tarpaulin Cover</t>
  </si>
  <si>
    <t>Weeks</t>
  </si>
  <si>
    <t>Opening</t>
  </si>
  <si>
    <t>Closing</t>
  </si>
  <si>
    <t>01-08-2025 / 07-08-2025</t>
  </si>
  <si>
    <t>WEEK1</t>
  </si>
  <si>
    <t>08-08-2025 / 14-08-2025</t>
  </si>
  <si>
    <t>WEEK2</t>
  </si>
  <si>
    <t>15-08-2025 / 21-08-2025</t>
  </si>
  <si>
    <t>WEEK3</t>
  </si>
  <si>
    <t>22-08-2025 / 28-08-2025</t>
  </si>
  <si>
    <t>WEEK4</t>
  </si>
  <si>
    <t>29-08-2025 / 04-09-2025</t>
  </si>
  <si>
    <t>WEEK5</t>
  </si>
  <si>
    <t>05-09-2025 / 11-09-2025</t>
  </si>
  <si>
    <t>WEEK6</t>
  </si>
  <si>
    <t>12-09-2025 / 18-09-2025</t>
  </si>
  <si>
    <t>WEEK7</t>
  </si>
  <si>
    <t>19-09-2025 / 25-09-2025</t>
  </si>
  <si>
    <t>WEEK8</t>
  </si>
  <si>
    <t>26-09-2025 / 02-10-2025</t>
  </si>
  <si>
    <t>WEEK9</t>
  </si>
  <si>
    <t>03-10-2025 / 09-10-2025</t>
  </si>
  <si>
    <t>WEEK10</t>
  </si>
  <si>
    <t>10-10-2025 / 16-10-2025</t>
  </si>
  <si>
    <t>WEEK11</t>
  </si>
  <si>
    <t>16-10-2025 / 22-10-2025</t>
  </si>
  <si>
    <t>WEEK12</t>
  </si>
  <si>
    <t>23-10-2025 / 29-10-2025</t>
  </si>
  <si>
    <t>WEEK13</t>
  </si>
  <si>
    <t>30-10-2025 / 05-11-2025</t>
  </si>
  <si>
    <t>WEEK14</t>
  </si>
  <si>
    <t>06-11-2025 / 12-11-2025</t>
  </si>
  <si>
    <t>WEEK15</t>
  </si>
  <si>
    <t>13-11-2025 / 19-11-2025</t>
  </si>
  <si>
    <t>WEEK16</t>
  </si>
  <si>
    <t>20-11-2025 / 26-11-2025</t>
  </si>
  <si>
    <t>WEEK17</t>
  </si>
  <si>
    <t>27-11-2025 / 03-12-2025</t>
  </si>
  <si>
    <t>WEEK18</t>
  </si>
  <si>
    <t>04-12-2025 / 10-12-2025</t>
  </si>
  <si>
    <t>WEEK19</t>
  </si>
  <si>
    <t>11-12-2025 / 17-12-2025</t>
  </si>
  <si>
    <t>WEEK20</t>
  </si>
  <si>
    <t>18-12-2025 / 24-12-2025</t>
  </si>
  <si>
    <t>WEEK21</t>
  </si>
  <si>
    <t>25-12-2025 / 02-01-2026</t>
  </si>
  <si>
    <t>WEEK22</t>
  </si>
  <si>
    <t>03-01-2026 / 09-01-2026</t>
  </si>
  <si>
    <t>WEEK23</t>
  </si>
  <si>
    <t>10-01-2026 / 16-01-2026</t>
  </si>
  <si>
    <t>WEEK24</t>
  </si>
  <si>
    <t>17-01-2026 / 23-01-2026</t>
  </si>
  <si>
    <t>WEEK25</t>
  </si>
  <si>
    <t>24-01-2026 / 31-01-2026</t>
  </si>
  <si>
    <t>WEEK26</t>
  </si>
  <si>
    <t>Cements</t>
  </si>
  <si>
    <t xml:space="preserve">Paint </t>
  </si>
  <si>
    <t>Mean</t>
  </si>
  <si>
    <t>Mode</t>
  </si>
  <si>
    <t>Column 11</t>
  </si>
  <si>
    <t>Standard
Deviation</t>
  </si>
  <si>
    <t>Min</t>
  </si>
  <si>
    <t>Column 12</t>
  </si>
  <si>
    <t>Max</t>
  </si>
  <si>
    <t>Range</t>
  </si>
  <si>
    <t>Column 13</t>
  </si>
  <si>
    <t>Sum</t>
  </si>
  <si>
    <t>Count
(Sale Days)</t>
  </si>
  <si>
    <t xml:space="preserve">Month </t>
  </si>
  <si>
    <t>August</t>
  </si>
  <si>
    <t>September</t>
  </si>
  <si>
    <t>October</t>
  </si>
  <si>
    <t>Data Type</t>
  </si>
  <si>
    <t>Skewness</t>
  </si>
  <si>
    <t>November</t>
  </si>
  <si>
    <t>Discrete</t>
  </si>
  <si>
    <t>December</t>
  </si>
  <si>
    <t>January</t>
  </si>
  <si>
    <t>TOTAL</t>
  </si>
  <si>
    <t>2640294</t>
  </si>
  <si>
    <t>372284</t>
  </si>
  <si>
    <t>Ultratech</t>
  </si>
  <si>
    <t>SD</t>
  </si>
  <si>
    <t xml:space="preserve">Lead Time </t>
  </si>
  <si>
    <t>Safety Stock</t>
  </si>
  <si>
    <t>Reorder Point</t>
  </si>
  <si>
    <t>Average CP</t>
  </si>
  <si>
    <t>Average SP</t>
  </si>
  <si>
    <t>Avg profit margin</t>
  </si>
  <si>
    <t>TMT 12 mm</t>
  </si>
  <si>
    <t>8mm</t>
  </si>
  <si>
    <t>Stirrup Square</t>
  </si>
  <si>
    <t>10mm</t>
  </si>
  <si>
    <t>Stirrup Circle</t>
  </si>
  <si>
    <t>12mm</t>
  </si>
  <si>
    <t>Stirrup Rectangle</t>
  </si>
  <si>
    <t>Square</t>
  </si>
  <si>
    <t>Rectangle</t>
  </si>
  <si>
    <t>Circle</t>
  </si>
  <si>
    <t>ROUGH WORK</t>
  </si>
  <si>
    <t>Sales day (for calculating box plot)</t>
  </si>
  <si>
    <t xml:space="preserve">ROP + stock analysis </t>
  </si>
  <si>
    <t>ROP</t>
  </si>
  <si>
    <t>Profit Margin Analysis</t>
  </si>
  <si>
    <t>Transaction</t>
  </si>
  <si>
    <t>Margin%</t>
  </si>
  <si>
    <t>Zero Margin</t>
  </si>
  <si>
    <t>Margin %</t>
  </si>
  <si>
    <t>Month no</t>
  </si>
  <si>
    <t>TMT Bars</t>
  </si>
  <si>
    <t>Others</t>
  </si>
  <si>
    <t>Grand Total</t>
  </si>
  <si>
    <t>Margin</t>
  </si>
  <si>
    <t>8mm bar</t>
  </si>
  <si>
    <t>10mm bar</t>
  </si>
  <si>
    <t>12mm bar</t>
  </si>
  <si>
    <t>Stirrup Rect</t>
  </si>
  <si>
    <t>Column</t>
  </si>
  <si>
    <t>Purpose in Analysis</t>
  </si>
  <si>
    <t>Temporal</t>
  </si>
  <si>
    <t>Enables Time Based Analysis for Demand Trends</t>
  </si>
  <si>
    <t>Categorical</t>
  </si>
  <si>
    <t>Uniquely identifies each product</t>
  </si>
  <si>
    <t>For Categorical Comparison</t>
  </si>
  <si>
    <t>Numerical</t>
  </si>
  <si>
    <t>Used in Demand and ROP Analysis</t>
  </si>
  <si>
    <t>Measurement Unit for Each Product Type</t>
  </si>
  <si>
    <t>Profit Margin Computation</t>
  </si>
  <si>
    <t xml:space="preserve">Revenue </t>
  </si>
  <si>
    <t>Measurement for Revenue generated by Shop</t>
  </si>
  <si>
    <t>Transaction Level Profit ; Used in Profit Margin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</si>
</sst>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3.0"/>
      <color theme="1"/>
      <name val="Arial"/>
    </font>
    <font/>
    <font>
      <b/>
      <sz val="11.0"/>
      <color theme="1"/>
      <name val="Arial"/>
    </font>
    <font>
      <color rgb="FF000000"/>
      <name val="Arial"/>
    </font>
    <font>
      <b/>
      <sz val="17.0"/>
      <color rgb="FF000000"/>
      <name val="Arial"/>
    </font>
    <font>
      <sz val="11.0"/>
      <color rgb="FF000000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</fills>
  <borders count="20">
    <border/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3" fontId="4" numFmtId="0" xfId="0" applyAlignment="1" applyFill="1" applyFont="1">
      <alignment horizontal="left" vertical="center"/>
    </xf>
    <xf borderId="0" fillId="3" fontId="4" numFmtId="0" xfId="0" applyAlignment="1" applyFont="1">
      <alignment vertical="center"/>
    </xf>
    <xf borderId="0" fillId="3" fontId="6" numFmtId="0" xfId="0" applyFont="1"/>
    <xf borderId="0" fillId="3" fontId="4" numFmtId="0" xfId="0" applyFont="1"/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1" fillId="4" fontId="7" numFmtId="0" xfId="0" applyAlignment="1" applyBorder="1" applyFill="1" applyFont="1">
      <alignment vertical="bottom"/>
    </xf>
    <xf borderId="2" fillId="4" fontId="7" numFmtId="0" xfId="0" applyAlignment="1" applyBorder="1" applyFont="1">
      <alignment vertical="bottom"/>
    </xf>
    <xf borderId="3" fillId="5" fontId="8" numFmtId="0" xfId="0" applyAlignment="1" applyBorder="1" applyFill="1" applyFont="1">
      <alignment horizontal="center" shrinkToFit="0" wrapText="1"/>
    </xf>
    <xf borderId="4" fillId="0" fontId="9" numFmtId="0" xfId="0" applyBorder="1" applyFont="1"/>
    <xf borderId="5" fillId="0" fontId="9" numFmtId="0" xfId="0" applyBorder="1" applyFont="1"/>
    <xf borderId="3" fillId="6" fontId="8" numFmtId="0" xfId="0" applyAlignment="1" applyBorder="1" applyFill="1" applyFont="1">
      <alignment horizontal="center" shrinkToFit="0" wrapText="1"/>
    </xf>
    <xf borderId="3" fillId="7" fontId="8" numFmtId="0" xfId="0" applyAlignment="1" applyBorder="1" applyFill="1" applyFont="1">
      <alignment horizontal="center" shrinkToFit="0" wrapText="1"/>
    </xf>
    <xf borderId="6" fillId="2" fontId="8" numFmtId="0" xfId="0" applyAlignment="1" applyBorder="1" applyFont="1">
      <alignment horizontal="center" shrinkToFit="0" wrapText="1"/>
    </xf>
    <xf borderId="6" fillId="8" fontId="8" numFmtId="0" xfId="0" applyAlignment="1" applyBorder="1" applyFill="1" applyFont="1">
      <alignment horizontal="center" shrinkToFit="0" wrapText="1"/>
    </xf>
    <xf borderId="6" fillId="9" fontId="8" numFmtId="0" xfId="0" applyAlignment="1" applyBorder="1" applyFill="1" applyFont="1">
      <alignment horizontal="center" shrinkToFit="0" wrapText="1"/>
    </xf>
    <xf borderId="6" fillId="10" fontId="8" numFmtId="0" xfId="0" applyAlignment="1" applyBorder="1" applyFill="1" applyFont="1">
      <alignment horizontal="center" shrinkToFit="0" wrapText="1"/>
    </xf>
    <xf borderId="7" fillId="4" fontId="7" numFmtId="0" xfId="0" applyAlignment="1" applyBorder="1" applyFont="1">
      <alignment vertical="bottom"/>
    </xf>
    <xf borderId="0" fillId="4" fontId="4" numFmtId="0" xfId="0" applyFont="1"/>
    <xf borderId="8" fillId="4" fontId="2" numFmtId="0" xfId="0" applyAlignment="1" applyBorder="1" applyFont="1">
      <alignment horizontal="center" shrinkToFit="0" wrapText="1"/>
    </xf>
    <xf borderId="9" fillId="4" fontId="2" numFmtId="0" xfId="0" applyAlignment="1" applyBorder="1" applyFont="1">
      <alignment horizontal="center" shrinkToFit="0" wrapText="1"/>
    </xf>
    <xf borderId="6" fillId="5" fontId="2" numFmtId="0" xfId="0" applyAlignment="1" applyBorder="1" applyFont="1">
      <alignment horizontal="center" shrinkToFit="0" wrapText="1"/>
    </xf>
    <xf borderId="6" fillId="5" fontId="2" numFmtId="0" xfId="0" applyAlignment="1" applyBorder="1" applyFont="1">
      <alignment horizontal="center" readingOrder="0" shrinkToFit="0" wrapText="1"/>
    </xf>
    <xf borderId="6" fillId="6" fontId="2" numFmtId="0" xfId="0" applyAlignment="1" applyBorder="1" applyFont="1">
      <alignment horizontal="center" shrinkToFit="0" wrapText="1"/>
    </xf>
    <xf borderId="6" fillId="7" fontId="2" numFmtId="0" xfId="0" applyAlignment="1" applyBorder="1" applyFont="1">
      <alignment horizontal="center" shrinkToFit="0" wrapText="1"/>
    </xf>
    <xf borderId="6" fillId="2" fontId="2" numFmtId="0" xfId="0" applyAlignment="1" applyBorder="1" applyFont="1">
      <alignment horizontal="center" shrinkToFit="0" wrapText="1"/>
    </xf>
    <xf borderId="6" fillId="8" fontId="2" numFmtId="0" xfId="0" applyAlignment="1" applyBorder="1" applyFont="1">
      <alignment horizontal="center" shrinkToFit="0" wrapText="1"/>
    </xf>
    <xf borderId="6" fillId="9" fontId="2" numFmtId="0" xfId="0" applyAlignment="1" applyBorder="1" applyFont="1">
      <alignment horizontal="center" shrinkToFit="0" wrapText="1"/>
    </xf>
    <xf borderId="6" fillId="10" fontId="2" numFmtId="0" xfId="0" applyAlignment="1" applyBorder="1" applyFont="1">
      <alignment horizontal="center" shrinkToFit="0" wrapText="1"/>
    </xf>
    <xf borderId="10" fillId="4" fontId="2" numFmtId="0" xfId="0" applyAlignment="1" applyBorder="1" applyFont="1">
      <alignment horizontal="center" shrinkToFit="0" wrapText="1"/>
    </xf>
    <xf borderId="8" fillId="4" fontId="4" numFmtId="0" xfId="0" applyAlignment="1" applyBorder="1" applyFont="1">
      <alignment horizontal="center" shrinkToFit="0" wrapText="1"/>
    </xf>
    <xf borderId="11" fillId="4" fontId="4" numFmtId="0" xfId="0" applyAlignment="1" applyBorder="1" applyFont="1">
      <alignment horizontal="center" shrinkToFit="0" wrapText="1"/>
    </xf>
    <xf borderId="9" fillId="4" fontId="4" numFmtId="0" xfId="0" applyAlignment="1" applyBorder="1" applyFont="1">
      <alignment horizontal="center" shrinkToFit="0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5" fontId="8" numFmtId="0" xfId="0" applyAlignment="1" applyFont="1">
      <alignment horizontal="center"/>
    </xf>
    <xf borderId="0" fillId="11" fontId="8" numFmtId="0" xfId="0" applyAlignment="1" applyFill="1" applyFont="1">
      <alignment horizontal="center"/>
    </xf>
    <xf borderId="0" fillId="7" fontId="8" numFmtId="0" xfId="0" applyAlignment="1" applyFont="1">
      <alignment horizontal="center"/>
    </xf>
    <xf borderId="0" fillId="2" fontId="8" numFmtId="0" xfId="0" applyAlignment="1" applyFont="1">
      <alignment horizontal="center"/>
    </xf>
    <xf borderId="0" fillId="8" fontId="8" numFmtId="0" xfId="0" applyAlignment="1" applyFont="1">
      <alignment horizontal="center"/>
    </xf>
    <xf borderId="0" fillId="9" fontId="8" numFmtId="0" xfId="0" applyAlignment="1" applyFont="1">
      <alignment horizontal="center"/>
    </xf>
    <xf borderId="0" fillId="10" fontId="8" numFmtId="0" xfId="0" applyAlignment="1" applyFont="1">
      <alignment horizontal="center"/>
    </xf>
    <xf borderId="0" fillId="5" fontId="10" numFmtId="0" xfId="0" applyAlignment="1" applyFont="1">
      <alignment horizontal="center"/>
    </xf>
    <xf borderId="3" fillId="5" fontId="10" numFmtId="0" xfId="0" applyAlignment="1" applyBorder="1" applyFont="1">
      <alignment horizontal="center"/>
    </xf>
    <xf borderId="3" fillId="11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3" fillId="8" fontId="2" numFmtId="0" xfId="0" applyAlignment="1" applyBorder="1" applyFont="1">
      <alignment horizontal="center"/>
    </xf>
    <xf borderId="3" fillId="9" fontId="2" numFmtId="0" xfId="0" applyAlignment="1" applyBorder="1" applyFont="1">
      <alignment horizontal="center"/>
    </xf>
    <xf borderId="3" fillId="10" fontId="2" numFmtId="0" xfId="0" applyAlignment="1" applyBorder="1" applyFont="1">
      <alignment horizontal="center"/>
    </xf>
    <xf borderId="0" fillId="0" fontId="2" numFmtId="0" xfId="0" applyFont="1"/>
    <xf borderId="6" fillId="0" fontId="2" numFmtId="0" xfId="0" applyBorder="1" applyFont="1"/>
    <xf borderId="0" fillId="12" fontId="4" numFmtId="0" xfId="0" applyFill="1" applyFont="1"/>
    <xf borderId="0" fillId="5" fontId="2" numFmtId="0" xfId="0" applyFont="1"/>
    <xf borderId="0" fillId="11" fontId="2" numFmtId="0" xfId="0" applyFont="1"/>
    <xf borderId="0" fillId="7" fontId="2" numFmtId="0" xfId="0" applyFont="1"/>
    <xf borderId="0" fillId="8" fontId="2" numFmtId="0" xfId="0" applyFont="1"/>
    <xf borderId="0" fillId="9" fontId="2" numFmtId="0" xfId="0" applyFont="1"/>
    <xf borderId="0" fillId="10" fontId="2" numFmtId="0" xfId="0" applyFont="1"/>
    <xf borderId="0" fillId="4" fontId="4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8" fillId="4" fontId="11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center" wrapText="0"/>
    </xf>
    <xf borderId="8" fillId="4" fontId="11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0" fillId="4" fontId="11" numFmtId="0" xfId="0" applyAlignment="1" applyFont="1">
      <alignment shrinkToFit="0" vertical="center" wrapText="1"/>
    </xf>
    <xf borderId="8" fillId="4" fontId="11" numFmtId="0" xfId="0" applyAlignment="1" applyBorder="1" applyFont="1">
      <alignment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9" fillId="4" fontId="11" numFmtId="0" xfId="0" applyAlignment="1" applyBorder="1" applyFont="1">
      <alignment shrinkToFit="0" vertical="center" wrapText="1"/>
    </xf>
    <xf borderId="18" fillId="0" fontId="9" numFmtId="0" xfId="0" applyBorder="1" applyFont="1"/>
    <xf borderId="10" fillId="0" fontId="9" numFmtId="0" xfId="0" applyBorder="1" applyFont="1"/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right" vertical="bottom"/>
    </xf>
    <xf borderId="0" fillId="4" fontId="8" numFmtId="0" xfId="0" applyAlignment="1" applyFont="1">
      <alignment horizontal="center"/>
    </xf>
    <xf borderId="0" fillId="4" fontId="10" numFmtId="0" xfId="0" applyAlignment="1" applyFont="1">
      <alignment horizontal="center"/>
    </xf>
    <xf borderId="3" fillId="4" fontId="10" numFmtId="0" xfId="0" applyAlignment="1" applyBorder="1" applyFont="1">
      <alignment horizontal="center"/>
    </xf>
    <xf borderId="6" fillId="4" fontId="10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0" fillId="4" fontId="2" numFmtId="0" xfId="0" applyFont="1"/>
    <xf borderId="6" fillId="4" fontId="2" numFmtId="0" xfId="0" applyBorder="1" applyFont="1"/>
    <xf borderId="0" fillId="4" fontId="4" numFmtId="0" xfId="0" applyAlignment="1" applyFont="1">
      <alignment horizontal="right" vertical="bottom"/>
    </xf>
    <xf borderId="0" fillId="0" fontId="4" numFmtId="10" xfId="0" applyFont="1" applyNumberFormat="1"/>
    <xf borderId="19" fillId="4" fontId="13" numFmtId="0" xfId="0" applyAlignment="1" applyBorder="1" applyFont="1">
      <alignment horizontal="center" vertical="center"/>
    </xf>
    <xf borderId="19" fillId="4" fontId="13" numFmtId="0" xfId="0" applyAlignment="1" applyBorder="1" applyFont="1">
      <alignment horizontal="left" vertical="center"/>
    </xf>
    <xf borderId="19" fillId="4" fontId="13" numFmtId="3" xfId="0" applyAlignment="1" applyBorder="1" applyFont="1" applyNumberFormat="1">
      <alignment horizontal="center" vertical="center"/>
    </xf>
    <xf borderId="0" fillId="0" fontId="4" numFmtId="0" xfId="0" applyFont="1"/>
    <xf borderId="0" fillId="0" fontId="10" numFmtId="0" xfId="0" applyAlignment="1" applyFont="1">
      <alignment horizontal="left" shrinkToFit="0" vertical="center" wrapText="0"/>
    </xf>
    <xf borderId="0" fillId="0" fontId="10" numFmtId="0" xfId="0" applyFont="1"/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Raw Sales Data-style">
      <tableStyleElement dxfId="1" type="headerRow"/>
      <tableStyleElement dxfId="2" type="firstRowStripe"/>
      <tableStyleElement dxfId="3" type="secondRowStripe"/>
      <tableStyleElement dxfId="4" type="totalRow"/>
    </tableStyle>
    <tableStyle count="2" pivot="0" name="Calculations-style">
      <tableStyleElement dxfId="2" type="firstRowStripe"/>
      <tableStyleElement dxfId="5" type="secondRowStripe"/>
    </tableStyle>
    <tableStyle count="4" pivot="0" name="Calculations-style 2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4" pivot="0" name="Calculations-style 3">
      <tableStyleElement dxfId="1" type="headerRow"/>
      <tableStyleElement dxfId="2" type="firstRowStripe"/>
      <tableStyleElement dxfId="3" type="secondRowStripe"/>
      <tableStyleElement dxfId="4" type="totalRow"/>
    </tableStyle>
    <tableStyle count="5" pivot="0" name="Calculations-style 4">
      <tableStyleElement dxfId="1" type="headerRow"/>
      <tableStyleElement dxfId="2" type="firstRowStripe"/>
      <tableStyleElement dxfId="3" type="secondRowStripe"/>
      <tableStyleElement dxfId="4" type="totalRow"/>
      <tableStyleElement dxfId="6" size="0" type="wholeTable"/>
    </tableStyle>
    <tableStyle count="4" pivot="0" name="Calculations-style 5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4" pivot="0" name="Calculations-style 6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Calculations-style 7">
      <tableStyleElement dxfId="1" type="headerRow"/>
      <tableStyleElement dxfId="2" type="firstRowStripe"/>
      <tableStyleElement dxfId="3" type="secondRowStripe"/>
    </tableStyle>
    <tableStyle count="3" pivot="0" name="Calculations-style 8">
      <tableStyleElement dxfId="1" type="headerRow"/>
      <tableStyleElement dxfId="2" type="firstRowStripe"/>
      <tableStyleElement dxfId="3" type="secondRowStripe"/>
    </tableStyle>
    <tableStyle count="3" pivot="0" name="Calculations-style 9">
      <tableStyleElement dxfId="1" type="headerRow"/>
      <tableStyleElement dxfId="2" type="firstRowStripe"/>
      <tableStyleElement dxfId="3" type="secondRowStripe"/>
    </tableStyle>
    <tableStyle count="3" pivot="0" name="Calculations-style 10">
      <tableStyleElement dxfId="1" type="headerRow"/>
      <tableStyleElement dxfId="2" type="firstRowStripe"/>
      <tableStyleElement dxfId="3" type="secondRowStripe"/>
    </tableStyle>
    <tableStyle count="2" pivot="0" name="Visuals-style">
      <tableStyleElement dxfId="2" type="firstRowStripe"/>
      <tableStyleElement dxfId="3" type="secondRowStripe"/>
    </tableStyle>
    <tableStyle count="3" pivot="0" name="Visual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Nuvoco/Opening and Nuvoco/Closing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Calculations!$C$134:$C$137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Calculations!$B$138:$B$163</c:f>
            </c:strRef>
          </c:cat>
          <c:val>
            <c:numRef>
              <c:f>Calculations!$C$138:$C$163</c:f>
              <c:numCache/>
            </c:numRef>
          </c:val>
          <c:smooth val="0"/>
        </c:ser>
        <c:ser>
          <c:idx val="1"/>
          <c:order val="1"/>
          <c:tx>
            <c:strRef>
              <c:f>Calculations!$D$134:$D$137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Calculations!$B$138:$B$163</c:f>
            </c:strRef>
          </c:cat>
          <c:val>
            <c:numRef>
              <c:f>Calculations!$D$138:$D$163</c:f>
              <c:numCache/>
            </c:numRef>
          </c:val>
          <c:smooth val="0"/>
        </c:ser>
        <c:ser>
          <c:idx val="2"/>
          <c:order val="2"/>
          <c:tx>
            <c:strRef>
              <c:f>Calculations!$E$138:$E$141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Calculations!$B$138:$B$163</c:f>
            </c:strRef>
          </c:cat>
          <c:val>
            <c:numRef>
              <c:f>Calculations!$E$142:$E$163</c:f>
              <c:numCache/>
            </c:numRef>
          </c:val>
          <c:smooth val="0"/>
        </c:ser>
        <c:axId val="128606306"/>
        <c:axId val="770097820"/>
      </c:lineChart>
      <c:catAx>
        <c:axId val="128606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ROP + stock analysis /Weeks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0097820"/>
      </c:catAx>
      <c:valAx>
        <c:axId val="770097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60630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JSW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Calculations!$I$166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Calculations!$H$167:$H$192</c:f>
            </c:strRef>
          </c:cat>
          <c:val>
            <c:numRef>
              <c:f>Calculations!$I$167:$I$192</c:f>
              <c:numCache/>
            </c:numRef>
          </c:val>
          <c:smooth val="0"/>
        </c:ser>
        <c:ser>
          <c:idx val="1"/>
          <c:order val="1"/>
          <c:tx>
            <c:strRef>
              <c:f>Calculations!$J$166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Calculations!$H$167:$H$192</c:f>
            </c:strRef>
          </c:cat>
          <c:val>
            <c:numRef>
              <c:f>Calculations!$J$167:$J$192</c:f>
              <c:numCache/>
            </c:numRef>
          </c:val>
          <c:smooth val="0"/>
        </c:ser>
        <c:ser>
          <c:idx val="2"/>
          <c:order val="2"/>
          <c:tx>
            <c:strRef>
              <c:f>Calculations!$L$167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Calculations!$H$167:$H$192</c:f>
            </c:strRef>
          </c:cat>
          <c:val>
            <c:numRef>
              <c:f>Calculations!$L$168:$L$192</c:f>
              <c:numCache/>
            </c:numRef>
          </c:val>
          <c:smooth val="0"/>
        </c:ser>
        <c:axId val="1756908451"/>
        <c:axId val="1894079996"/>
      </c:lineChart>
      <c:catAx>
        <c:axId val="1756908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4079996"/>
      </c:catAx>
      <c:valAx>
        <c:axId val="189407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69084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UltraTech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Calculations!$P$166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Calculations!$O$167:$O$192</c:f>
            </c:strRef>
          </c:cat>
          <c:val>
            <c:numRef>
              <c:f>Calculations!$P$167:$P$192</c:f>
              <c:numCache/>
            </c:numRef>
          </c:val>
          <c:smooth val="0"/>
        </c:ser>
        <c:ser>
          <c:idx val="1"/>
          <c:order val="1"/>
          <c:tx>
            <c:strRef>
              <c:f>Calculations!$Q$166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Calculations!$O$167:$O$192</c:f>
            </c:strRef>
          </c:cat>
          <c:val>
            <c:numRef>
              <c:f>Calculations!$Q$167:$Q$192</c:f>
              <c:numCache/>
            </c:numRef>
          </c:val>
          <c:smooth val="0"/>
        </c:ser>
        <c:ser>
          <c:idx val="2"/>
          <c:order val="2"/>
          <c:tx>
            <c:strRef>
              <c:f>Calculations!$R$167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Calculations!$O$167:$O$192</c:f>
            </c:strRef>
          </c:cat>
          <c:val>
            <c:numRef>
              <c:f>Calculations!$R$168:$R$193</c:f>
              <c:numCache/>
            </c:numRef>
          </c:val>
          <c:smooth val="0"/>
        </c:ser>
        <c:axId val="978475394"/>
        <c:axId val="742245157"/>
      </c:lineChart>
      <c:catAx>
        <c:axId val="978475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2245157"/>
      </c:catAx>
      <c:valAx>
        <c:axId val="742245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84753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TMT_ 10mm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Calculations!$X$166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Calculations!$W$167:$W$192</c:f>
            </c:strRef>
          </c:cat>
          <c:val>
            <c:numRef>
              <c:f>Calculations!$X$167:$X$192</c:f>
              <c:numCache/>
            </c:numRef>
          </c:val>
          <c:smooth val="0"/>
        </c:ser>
        <c:ser>
          <c:idx val="1"/>
          <c:order val="1"/>
          <c:tx>
            <c:strRef>
              <c:f>Calculations!$Y$166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Calculations!$W$167:$W$192</c:f>
            </c:strRef>
          </c:cat>
          <c:val>
            <c:numRef>
              <c:f>Calculations!$Y$167:$Y$192</c:f>
              <c:numCache/>
            </c:numRef>
          </c:val>
          <c:smooth val="0"/>
        </c:ser>
        <c:ser>
          <c:idx val="2"/>
          <c:order val="2"/>
          <c:tx>
            <c:strRef>
              <c:f>Calculations!$Z$167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Calculations!$W$167:$W$192</c:f>
            </c:strRef>
          </c:cat>
          <c:val>
            <c:numRef>
              <c:f>Calculations!$Z$168:$Z$192</c:f>
              <c:numCache/>
            </c:numRef>
          </c:val>
          <c:smooth val="0"/>
        </c:ser>
        <c:axId val="2087453393"/>
        <c:axId val="932422146"/>
      </c:lineChart>
      <c:catAx>
        <c:axId val="2087453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2422146"/>
      </c:catAx>
      <c:valAx>
        <c:axId val="93242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74533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TMT_12mm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Calculations!$AE$166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Calculations!$AD$167:$AD$192</c:f>
            </c:strRef>
          </c:cat>
          <c:val>
            <c:numRef>
              <c:f>Calculations!$AE$167:$AE$192</c:f>
              <c:numCache/>
            </c:numRef>
          </c:val>
          <c:smooth val="0"/>
        </c:ser>
        <c:ser>
          <c:idx val="1"/>
          <c:order val="1"/>
          <c:tx>
            <c:strRef>
              <c:f>Calculations!$AF$166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Calculations!$AD$167:$AD$192</c:f>
            </c:strRef>
          </c:cat>
          <c:val>
            <c:numRef>
              <c:f>Calculations!$AF$167:$AF$192</c:f>
              <c:numCache/>
            </c:numRef>
          </c:val>
          <c:smooth val="0"/>
        </c:ser>
        <c:ser>
          <c:idx val="2"/>
          <c:order val="2"/>
          <c:tx>
            <c:strRef>
              <c:f>Calculations!$AG$167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Calculations!$AD$167:$AD$192</c:f>
            </c:strRef>
          </c:cat>
          <c:val>
            <c:numRef>
              <c:f>Calculations!$AG$168:$AG$192</c:f>
              <c:numCache/>
            </c:numRef>
          </c:val>
          <c:smooth val="0"/>
        </c:ser>
        <c:axId val="1961466366"/>
        <c:axId val="361643240"/>
      </c:lineChart>
      <c:catAx>
        <c:axId val="196146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1643240"/>
      </c:catAx>
      <c:valAx>
        <c:axId val="361643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14663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Stirrup Square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Calculations!$R$197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Calculations!$Q$198:$Q$223</c:f>
            </c:strRef>
          </c:cat>
          <c:val>
            <c:numRef>
              <c:f>Calculations!$R$198:$R$223</c:f>
              <c:numCache/>
            </c:numRef>
          </c:val>
          <c:smooth val="0"/>
        </c:ser>
        <c:ser>
          <c:idx val="1"/>
          <c:order val="1"/>
          <c:tx>
            <c:strRef>
              <c:f>Calculations!$S$197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Calculations!$Q$198:$Q$223</c:f>
            </c:strRef>
          </c:cat>
          <c:val>
            <c:numRef>
              <c:f>Calculations!$S$198:$S$223</c:f>
              <c:numCache/>
            </c:numRef>
          </c:val>
          <c:smooth val="0"/>
        </c:ser>
        <c:ser>
          <c:idx val="2"/>
          <c:order val="2"/>
          <c:tx>
            <c:strRef>
              <c:f>Calculations!$T$198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Calculations!$Q$198:$Q$223</c:f>
            </c:strRef>
          </c:cat>
          <c:val>
            <c:numRef>
              <c:f>Calculations!$T$199:$T$223</c:f>
              <c:numCache/>
            </c:numRef>
          </c:val>
          <c:smooth val="0"/>
        </c:ser>
        <c:axId val="1460958334"/>
        <c:axId val="890158241"/>
      </c:lineChart>
      <c:catAx>
        <c:axId val="1460958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0158241"/>
      </c:catAx>
      <c:valAx>
        <c:axId val="890158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095833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Stirrup Circular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Calculations!$X$198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Calculations!$W$199:$W$224</c:f>
            </c:strRef>
          </c:cat>
          <c:val>
            <c:numRef>
              <c:f>Calculations!$X$199:$X$224</c:f>
              <c:numCache/>
            </c:numRef>
          </c:val>
          <c:smooth val="0"/>
        </c:ser>
        <c:ser>
          <c:idx val="1"/>
          <c:order val="1"/>
          <c:tx>
            <c:strRef>
              <c:f>Calculations!$Y$198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Calculations!$W$199:$W$224</c:f>
            </c:strRef>
          </c:cat>
          <c:val>
            <c:numRef>
              <c:f>Calculations!$Y$199:$Y$224</c:f>
              <c:numCache/>
            </c:numRef>
          </c:val>
          <c:smooth val="0"/>
        </c:ser>
        <c:ser>
          <c:idx val="2"/>
          <c:order val="2"/>
          <c:tx>
            <c:strRef>
              <c:f>Calculations!$Z$199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Calculations!$W$199:$W$224</c:f>
            </c:strRef>
          </c:cat>
          <c:val>
            <c:numRef>
              <c:f>Calculations!$Z$200:$Z$224</c:f>
              <c:numCache/>
            </c:numRef>
          </c:val>
          <c:smooth val="0"/>
        </c:ser>
        <c:axId val="442332037"/>
        <c:axId val="157520845"/>
      </c:lineChart>
      <c:catAx>
        <c:axId val="442332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7520845"/>
      </c:catAx>
      <c:valAx>
        <c:axId val="157520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233203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Stirrup Rectangle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Calculations!$AB$198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Calculations!$AA$199:$AA$224</c:f>
            </c:strRef>
          </c:cat>
          <c:val>
            <c:numRef>
              <c:f>Calculations!$AB$199:$AB$224</c:f>
              <c:numCache/>
            </c:numRef>
          </c:val>
          <c:smooth val="0"/>
        </c:ser>
        <c:ser>
          <c:idx val="1"/>
          <c:order val="1"/>
          <c:tx>
            <c:strRef>
              <c:f>Calculations!$AC$198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Calculations!$AA$199:$AA$224</c:f>
            </c:strRef>
          </c:cat>
          <c:val>
            <c:numRef>
              <c:f>Calculations!$AC$199:$AC$224</c:f>
              <c:numCache/>
            </c:numRef>
          </c:val>
          <c:smooth val="0"/>
        </c:ser>
        <c:ser>
          <c:idx val="2"/>
          <c:order val="2"/>
          <c:tx>
            <c:strRef>
              <c:f>Calculations!$AD$199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Calculations!$AA$199:$AA$224</c:f>
            </c:strRef>
          </c:cat>
          <c:val>
            <c:numRef>
              <c:f>Calculations!$AD$200:$AD$224</c:f>
              <c:numCache/>
            </c:numRef>
          </c:val>
          <c:smooth val="0"/>
        </c:ser>
        <c:axId val="1678984568"/>
        <c:axId val="2043789694"/>
      </c:lineChart>
      <c:catAx>
        <c:axId val="1678984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3789694"/>
      </c:catAx>
      <c:valAx>
        <c:axId val="2043789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89845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Paint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Calculations!$B$197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Calculations!$A$198:$A$223</c:f>
            </c:strRef>
          </c:cat>
          <c:val>
            <c:numRef>
              <c:f>Calculations!$B$198:$B$223</c:f>
              <c:numCache/>
            </c:numRef>
          </c:val>
          <c:smooth val="0"/>
        </c:ser>
        <c:ser>
          <c:idx val="1"/>
          <c:order val="1"/>
          <c:tx>
            <c:strRef>
              <c:f>Calculations!$C$197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Calculations!$A$198:$A$223</c:f>
            </c:strRef>
          </c:cat>
          <c:val>
            <c:numRef>
              <c:f>Calculations!$C$198:$C$223</c:f>
              <c:numCache/>
            </c:numRef>
          </c:val>
          <c:smooth val="0"/>
        </c:ser>
        <c:ser>
          <c:idx val="2"/>
          <c:order val="2"/>
          <c:tx>
            <c:strRef>
              <c:f>Calculations!$D$198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Calculations!$A$198:$A$223</c:f>
            </c:strRef>
          </c:cat>
          <c:val>
            <c:numRef>
              <c:f>Calculations!$D$199:$D$223</c:f>
              <c:numCache/>
            </c:numRef>
          </c:val>
          <c:smooth val="0"/>
        </c:ser>
        <c:axId val="1998831360"/>
        <c:axId val="1078666610"/>
      </c:lineChart>
      <c:catAx>
        <c:axId val="199883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8666610"/>
      </c:catAx>
      <c:valAx>
        <c:axId val="1078666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88313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 Primer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Calculations!$F$197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Calculations!$E$198:$E$223</c:f>
            </c:strRef>
          </c:cat>
          <c:val>
            <c:numRef>
              <c:f>Calculations!$F$198:$F$223</c:f>
              <c:numCache/>
            </c:numRef>
          </c:val>
          <c:smooth val="0"/>
        </c:ser>
        <c:ser>
          <c:idx val="1"/>
          <c:order val="1"/>
          <c:tx>
            <c:strRef>
              <c:f>Calculations!$G$197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Calculations!$E$198:$E$223</c:f>
            </c:strRef>
          </c:cat>
          <c:val>
            <c:numRef>
              <c:f>Calculations!$G$198:$G$223</c:f>
              <c:numCache/>
            </c:numRef>
          </c:val>
          <c:smooth val="0"/>
        </c:ser>
        <c:ser>
          <c:idx val="2"/>
          <c:order val="2"/>
          <c:tx>
            <c:strRef>
              <c:f>Calculations!$H$198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Calculations!$E$198:$E$223</c:f>
            </c:strRef>
          </c:cat>
          <c:val>
            <c:numRef>
              <c:f>Calculations!$H$199:$H$223</c:f>
              <c:numCache/>
            </c:numRef>
          </c:val>
          <c:smooth val="0"/>
        </c:ser>
        <c:axId val="1442962877"/>
        <c:axId val="547976621"/>
      </c:lineChart>
      <c:catAx>
        <c:axId val="1442962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7976621"/>
      </c:catAx>
      <c:valAx>
        <c:axId val="547976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29628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Binding Wire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Calculations!$K$197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Calculations!$J$198:$J$223</c:f>
            </c:strRef>
          </c:cat>
          <c:val>
            <c:numRef>
              <c:f>Calculations!$K$198:$K$223</c:f>
              <c:numCache/>
            </c:numRef>
          </c:val>
          <c:smooth val="0"/>
        </c:ser>
        <c:ser>
          <c:idx val="1"/>
          <c:order val="1"/>
          <c:tx>
            <c:strRef>
              <c:f>Calculations!$L$197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Calculations!$J$198:$J$223</c:f>
            </c:strRef>
          </c:cat>
          <c:val>
            <c:numRef>
              <c:f>Calculations!$L$198:$L$223</c:f>
              <c:numCache/>
            </c:numRef>
          </c:val>
          <c:smooth val="0"/>
        </c:ser>
        <c:ser>
          <c:idx val="2"/>
          <c:order val="2"/>
          <c:tx>
            <c:strRef>
              <c:f>Calculations!$M$198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Calculations!$J$198:$J$223</c:f>
            </c:strRef>
          </c:cat>
          <c:val>
            <c:numRef>
              <c:f>Calculations!$M$199:$M$223</c:f>
              <c:numCache/>
            </c:numRef>
          </c:val>
          <c:smooth val="0"/>
        </c:ser>
        <c:axId val="1750478218"/>
        <c:axId val="965013664"/>
      </c:lineChart>
      <c:catAx>
        <c:axId val="1750478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5013664"/>
      </c:catAx>
      <c:valAx>
        <c:axId val="965013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04782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Tarpaulin Cover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Calculations!$B$226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Calculations!$B$227:$B$252</c:f>
              <c:numCache/>
            </c:numRef>
          </c:val>
          <c:smooth val="0"/>
        </c:ser>
        <c:ser>
          <c:idx val="1"/>
          <c:order val="1"/>
          <c:tx>
            <c:strRef>
              <c:f>Calculations!$C$226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Calculations!$C$227:$C$252</c:f>
              <c:numCache/>
            </c:numRef>
          </c:val>
          <c:smooth val="0"/>
        </c:ser>
        <c:ser>
          <c:idx val="2"/>
          <c:order val="2"/>
          <c:tx>
            <c:strRef>
              <c:f>Calculations!$D$227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Calculations!$D$228:$D$252</c:f>
              <c:numCache/>
            </c:numRef>
          </c:val>
          <c:smooth val="0"/>
        </c:ser>
        <c:axId val="1598132569"/>
        <c:axId val="122950553"/>
      </c:lineChart>
      <c:catAx>
        <c:axId val="1598132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50553"/>
      </c:catAx>
      <c:valAx>
        <c:axId val="122950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813256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Concreto opening and Closing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Calculations!$T$166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Calculations!$S$167:$S$192</c:f>
            </c:strRef>
          </c:cat>
          <c:val>
            <c:numRef>
              <c:f>Calculations!$T$167:$T$192</c:f>
              <c:numCache/>
            </c:numRef>
          </c:val>
          <c:smooth val="0"/>
        </c:ser>
        <c:ser>
          <c:idx val="1"/>
          <c:order val="1"/>
          <c:tx>
            <c:strRef>
              <c:f>Calculations!$U$166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Calculations!$S$167:$S$192</c:f>
            </c:strRef>
          </c:cat>
          <c:val>
            <c:numRef>
              <c:f>Calculations!$U$167:$U$192</c:f>
              <c:numCache/>
            </c:numRef>
          </c:val>
          <c:smooth val="0"/>
        </c:ser>
        <c:ser>
          <c:idx val="2"/>
          <c:order val="2"/>
          <c:tx>
            <c:strRef>
              <c:f>Calculations!$V$167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Calculations!$S$167:$S$192</c:f>
            </c:strRef>
          </c:cat>
          <c:val>
            <c:numRef>
              <c:f>Calculations!$V$168:$V$192</c:f>
              <c:numCache/>
            </c:numRef>
          </c:val>
          <c:smooth val="0"/>
        </c:ser>
        <c:axId val="1111387253"/>
        <c:axId val="1063356462"/>
      </c:lineChart>
      <c:catAx>
        <c:axId val="1111387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3356462"/>
      </c:catAx>
      <c:valAx>
        <c:axId val="106335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138725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Reorder Point (ROP) — TMT 8mm 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Opening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Calculations!$H$226:$H$252</c:f>
            </c:strRef>
          </c:cat>
          <c:val>
            <c:numRef>
              <c:f>Calculations!$I$226:$I$252</c:f>
              <c:numCache/>
            </c:numRef>
          </c:val>
          <c:smooth val="0"/>
        </c:ser>
        <c:ser>
          <c:idx val="1"/>
          <c:order val="1"/>
          <c:tx>
            <c:v>Closing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Calculations!$H$226:$H$252</c:f>
            </c:strRef>
          </c:cat>
          <c:val>
            <c:numRef>
              <c:f>Calculations!$J$226:$J$252</c:f>
              <c:numCache/>
            </c:numRef>
          </c:val>
          <c:smooth val="0"/>
        </c:ser>
        <c:ser>
          <c:idx val="2"/>
          <c:order val="2"/>
          <c:tx>
            <c:v>ROP (104 kg)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>Linear (ROP (104 kg))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Calculations!$H$226:$H$252</c:f>
            </c:strRef>
          </c:cat>
          <c:val>
            <c:numRef>
              <c:f>Calculations!$K$227:$K$252</c:f>
              <c:numCache/>
            </c:numRef>
          </c:val>
          <c:smooth val="0"/>
        </c:ser>
        <c:axId val="546333154"/>
        <c:axId val="479010315"/>
      </c:lineChart>
      <c:catAx>
        <c:axId val="546333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9010315"/>
      </c:catAx>
      <c:valAx>
        <c:axId val="479010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63331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Evidence of Pricing Inefficiency — Stirrup Circular Transactions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Calculations!$B$256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Calculations!$A$257:$A$318</c:f>
            </c:numRef>
          </c:xVal>
          <c:yVal>
            <c:numRef>
              <c:f>Calculations!$B$257:$B$318</c:f>
              <c:numCache/>
            </c:numRef>
          </c:yVal>
        </c:ser>
        <c:ser>
          <c:idx val="1"/>
          <c:order val="1"/>
          <c:tx>
            <c:v>Zero Margin %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Calculations!$A$257:$A$318</c:f>
            </c:numRef>
          </c:xVal>
          <c:yVal>
            <c:numRef>
              <c:f>Calculations!$C$258:$C$318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206731"/>
        <c:axId val="1819429629"/>
      </c:scatterChart>
      <c:valAx>
        <c:axId val="6502067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9429629"/>
      </c:valAx>
      <c:valAx>
        <c:axId val="1819429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020673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Selling Price vs. Month no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Calculations!$M$256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Calculations!$L$257:$L$266</c:f>
            </c:numRef>
          </c:xVal>
          <c:yVal>
            <c:numRef>
              <c:f>Calculations!$M$257:$M$266</c:f>
              <c:numCache/>
            </c:numRef>
          </c:yVal>
        </c:ser>
        <c:ser>
          <c:idx val="1"/>
          <c:order val="1"/>
          <c:tx>
            <c:strRef>
              <c:f>Calculations!$N$257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Calculations!$L$257:$L$266</c:f>
            </c:numRef>
          </c:xVal>
          <c:yVal>
            <c:numRef>
              <c:f>Calculations!$N$258:$N$266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76575"/>
        <c:axId val="1710246928"/>
      </c:scatterChart>
      <c:valAx>
        <c:axId val="8013765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246928"/>
      </c:valAx>
      <c:valAx>
        <c:axId val="1710246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Selling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376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Visuals!$A$2:$A$7</c:f>
            </c:strRef>
          </c:cat>
          <c:val>
            <c:numRef>
              <c:f>Visuals!$B$2:$B$7</c:f>
              <c:numCache/>
            </c:numRef>
          </c:val>
        </c:ser>
        <c:ser>
          <c:idx val="1"/>
          <c:order val="1"/>
          <c:tx>
            <c:strRef>
              <c:f>Visuals!$C$1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Visuals!$A$2:$A$7</c:f>
            </c:strRef>
          </c:cat>
          <c:val>
            <c:numRef>
              <c:f>Visuals!$C$2:$C$7</c:f>
              <c:numCache/>
            </c:numRef>
          </c:val>
        </c:ser>
        <c:axId val="1415313933"/>
        <c:axId val="1319940797"/>
      </c:barChart>
      <c:catAx>
        <c:axId val="1415313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9940797"/>
      </c:catAx>
      <c:valAx>
        <c:axId val="1319940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53139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Cement, TMT Bars, Stirrups and Others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Visuals!$M$2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Visuals!$L$3:$L$8</c:f>
            </c:strRef>
          </c:cat>
          <c:val>
            <c:numRef>
              <c:f>Visuals!$M$3:$M$8</c:f>
              <c:numCache/>
            </c:numRef>
          </c:val>
          <c:smooth val="0"/>
        </c:ser>
        <c:ser>
          <c:idx val="1"/>
          <c:order val="1"/>
          <c:tx>
            <c:strRef>
              <c:f>Visuals!$N$2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Visuals!$L$3:$L$8</c:f>
            </c:strRef>
          </c:cat>
          <c:val>
            <c:numRef>
              <c:f>Visuals!$N$3:$N$8</c:f>
              <c:numCache/>
            </c:numRef>
          </c:val>
          <c:smooth val="0"/>
        </c:ser>
        <c:ser>
          <c:idx val="2"/>
          <c:order val="2"/>
          <c:tx>
            <c:strRef>
              <c:f>Visuals!$O$2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Visuals!$L$3:$L$8</c:f>
            </c:strRef>
          </c:cat>
          <c:val>
            <c:numRef>
              <c:f>Visuals!$O$3:$O$8</c:f>
              <c:numCache/>
            </c:numRef>
          </c:val>
          <c:smooth val="0"/>
        </c:ser>
        <c:ser>
          <c:idx val="3"/>
          <c:order val="3"/>
          <c:tx>
            <c:strRef>
              <c:f>Visuals!$P$2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Visuals!$L$3:$L$8</c:f>
            </c:strRef>
          </c:cat>
          <c:val>
            <c:numRef>
              <c:f>Visuals!$P$3:$P$8</c:f>
              <c:numCache/>
            </c:numRef>
          </c:val>
          <c:smooth val="0"/>
        </c:ser>
        <c:axId val="1935390135"/>
        <c:axId val="1891786595"/>
      </c:lineChart>
      <c:catAx>
        <c:axId val="1935390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1786595"/>
      </c:catAx>
      <c:valAx>
        <c:axId val="189178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53901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Profit Margin vs. Product---Price ambiguity Visualized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Visuals!$J$4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Visuals!$I$5:$I$18</c:f>
            </c:strRef>
          </c:cat>
          <c:val>
            <c:numRef>
              <c:f>Visuals!$J$5:$J$18</c:f>
              <c:numCache/>
            </c:numRef>
          </c:val>
        </c:ser>
        <c:axId val="2036936416"/>
        <c:axId val="1982901592"/>
      </c:barChart>
      <c:catAx>
        <c:axId val="20369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2901592"/>
      </c:catAx>
      <c:valAx>
        <c:axId val="1982901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69364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vs. Month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Visuals!$A$2:$A$7</c:f>
            </c:strRef>
          </c:cat>
          <c:val>
            <c:numRef>
              <c:f>Visuals!$B$2:$B$7</c:f>
              <c:numCache/>
            </c:numRef>
          </c:val>
          <c:smooth val="0"/>
        </c:ser>
        <c:axId val="893307611"/>
        <c:axId val="649727370"/>
      </c:lineChart>
      <c:catAx>
        <c:axId val="89330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9727370"/>
      </c:catAx>
      <c:valAx>
        <c:axId val="649727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33076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ROP — JSW Cement (Bags)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Calculations!$I$166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Calculations!$H$167:$H$192</c:f>
            </c:strRef>
          </c:cat>
          <c:val>
            <c:numRef>
              <c:f>Calculations!$I$167:$I$192</c:f>
              <c:numCache/>
            </c:numRef>
          </c:val>
          <c:smooth val="0"/>
        </c:ser>
        <c:ser>
          <c:idx val="1"/>
          <c:order val="1"/>
          <c:tx>
            <c:strRef>
              <c:f>Calculations!$J$166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Calculations!$H$167:$H$192</c:f>
            </c:strRef>
          </c:cat>
          <c:val>
            <c:numRef>
              <c:f>Calculations!$J$167:$J$192</c:f>
              <c:numCache/>
            </c:numRef>
          </c:val>
          <c:smooth val="0"/>
        </c:ser>
        <c:ser>
          <c:idx val="2"/>
          <c:order val="2"/>
          <c:tx>
            <c:v>ROP (42 bags)</c:v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Calculations!$H$167:$H$192</c:f>
            </c:strRef>
          </c:cat>
          <c:val>
            <c:numRef>
              <c:f>Calculations!$L$169:$L$192</c:f>
              <c:numCache/>
            </c:numRef>
          </c:val>
          <c:smooth val="0"/>
        </c:ser>
        <c:axId val="108020139"/>
        <c:axId val="619188874"/>
      </c:lineChart>
      <c:catAx>
        <c:axId val="108020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9188874"/>
      </c:catAx>
      <c:valAx>
        <c:axId val="619188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(Bags)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02013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ROP — Nuvoco Cement (Bags)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Calculations!$C$134:$C$137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Calculations!$B$138:$B$163</c:f>
            </c:strRef>
          </c:cat>
          <c:val>
            <c:numRef>
              <c:f>Calculations!$C$138:$C$163</c:f>
              <c:numCache/>
            </c:numRef>
          </c:val>
          <c:smooth val="0"/>
        </c:ser>
        <c:ser>
          <c:idx val="1"/>
          <c:order val="1"/>
          <c:tx>
            <c:strRef>
              <c:f>Calculations!$D$134:$D$137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Calculations!$B$138:$B$163</c:f>
            </c:strRef>
          </c:cat>
          <c:val>
            <c:numRef>
              <c:f>Calculations!$D$138:$D$163</c:f>
              <c:numCache/>
            </c:numRef>
          </c:val>
          <c:smooth val="0"/>
        </c:ser>
        <c:ser>
          <c:idx val="2"/>
          <c:order val="2"/>
          <c:tx>
            <c:v>ROP (40 Bags)</c:v>
          </c:tx>
          <c:spPr>
            <a:ln cmpd="sng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Calculations!$B$138:$B$163</c:f>
            </c:strRef>
          </c:cat>
          <c:val>
            <c:numRef>
              <c:f>Calculations!$E$146:$E$163</c:f>
              <c:numCache/>
            </c:numRef>
          </c:val>
          <c:smooth val="0"/>
        </c:ser>
        <c:axId val="291334865"/>
        <c:axId val="1655998772"/>
      </c:lineChart>
      <c:catAx>
        <c:axId val="291334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5998772"/>
      </c:catAx>
      <c:valAx>
        <c:axId val="1655998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(Bags)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1334865"/>
      </c:valAx>
    </c:plotArea>
    <c:legend>
      <c:legendPos val="b"/>
      <c:layout>
        <c:manualLayout>
          <c:xMode val="edge"/>
          <c:yMode val="edge"/>
          <c:x val="0.199138772898707"/>
          <c:y val="0.917654986522911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ROP — TMT 10mm 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Calculations!$X$166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Calculations!$W$167:$W$192</c:f>
            </c:strRef>
          </c:cat>
          <c:val>
            <c:numRef>
              <c:f>Calculations!$X$167:$X$192</c:f>
              <c:numCache/>
            </c:numRef>
          </c:val>
          <c:smooth val="0"/>
        </c:ser>
        <c:ser>
          <c:idx val="1"/>
          <c:order val="1"/>
          <c:tx>
            <c:strRef>
              <c:f>Calculations!$Y$166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Calculations!$W$167:$W$192</c:f>
            </c:strRef>
          </c:cat>
          <c:val>
            <c:numRef>
              <c:f>Calculations!$Y$167:$Y$192</c:f>
              <c:numCache/>
            </c:numRef>
          </c:val>
          <c:smooth val="0"/>
        </c:ser>
        <c:ser>
          <c:idx val="2"/>
          <c:order val="2"/>
          <c:tx>
            <c:v>ROP ( 283kg)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>Linear (ROP ( 283kg))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Calculations!$W$167:$W$192</c:f>
            </c:strRef>
          </c:cat>
          <c:val>
            <c:numRef>
              <c:f>Calculations!$Z$169:$Z$192</c:f>
              <c:numCache/>
            </c:numRef>
          </c:val>
          <c:smooth val="0"/>
        </c:ser>
        <c:axId val="1955051346"/>
        <c:axId val="1314427965"/>
      </c:lineChart>
      <c:catAx>
        <c:axId val="1955051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4427965"/>
      </c:catAx>
      <c:valAx>
        <c:axId val="1314427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505134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ROP — TMT 12mm 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Calculations!$AE$166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Calculations!$AD$167:$AD$192</c:f>
            </c:strRef>
          </c:cat>
          <c:val>
            <c:numRef>
              <c:f>Calculations!$AE$167:$AE$192</c:f>
              <c:numCache/>
            </c:numRef>
          </c:val>
          <c:smooth val="0"/>
        </c:ser>
        <c:ser>
          <c:idx val="1"/>
          <c:order val="1"/>
          <c:tx>
            <c:strRef>
              <c:f>Calculations!$AF$166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Calculations!$AD$167:$AD$192</c:f>
            </c:strRef>
          </c:cat>
          <c:val>
            <c:numRef>
              <c:f>Calculations!$AF$167:$AF$192</c:f>
              <c:numCache/>
            </c:numRef>
          </c:val>
          <c:smooth val="0"/>
        </c:ser>
        <c:ser>
          <c:idx val="2"/>
          <c:order val="2"/>
          <c:tx>
            <c:v>ROP (271kg)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Calculations!$AD$167:$AD$192</c:f>
            </c:strRef>
          </c:cat>
          <c:val>
            <c:numRef>
              <c:f>Calculations!$AG$169:$AG$192</c:f>
              <c:numCache/>
            </c:numRef>
          </c:val>
          <c:smooth val="0"/>
        </c:ser>
        <c:axId val="1392294163"/>
        <c:axId val="1865976434"/>
      </c:lineChart>
      <c:catAx>
        <c:axId val="1392294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5976434"/>
      </c:catAx>
      <c:valAx>
        <c:axId val="1865976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229416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Stock vs Closing Stock with ROP -- Circular Stirrups(Pieces)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Calculations!$X$198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Calculations!$W$199:$W$224</c:f>
            </c:strRef>
          </c:cat>
          <c:val>
            <c:numRef>
              <c:f>Calculations!$X$199:$X$224</c:f>
              <c:numCache/>
            </c:numRef>
          </c:val>
          <c:smooth val="0"/>
        </c:ser>
        <c:ser>
          <c:idx val="1"/>
          <c:order val="1"/>
          <c:tx>
            <c:strRef>
              <c:f>Calculations!$Y$198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Calculations!$W$199:$W$224</c:f>
            </c:strRef>
          </c:cat>
          <c:val>
            <c:numRef>
              <c:f>Calculations!$Y$199:$Y$224</c:f>
              <c:numCache/>
            </c:numRef>
          </c:val>
          <c:smooth val="0"/>
        </c:ser>
        <c:ser>
          <c:idx val="2"/>
          <c:order val="2"/>
          <c:tx>
            <c:v>ROP ( 294 Pieces)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Calculations!$W$199:$W$224</c:f>
            </c:strRef>
          </c:cat>
          <c:val>
            <c:numRef>
              <c:f>Calculations!$Z$201:$Z$224</c:f>
              <c:numCache/>
            </c:numRef>
          </c:val>
          <c:smooth val="0"/>
        </c:ser>
        <c:axId val="602846359"/>
        <c:axId val="1351088915"/>
      </c:lineChart>
      <c:catAx>
        <c:axId val="602846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1088915"/>
      </c:catAx>
      <c:valAx>
        <c:axId val="1351088915"/>
        <c:scaling>
          <c:orientation val="minMax"/>
          <c:max val="9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(Pieces)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284635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Stock vs Closing Stock - - Stirrups Rectangle(Pieces)</a:t>
            </a:r>
          </a:p>
        </c:rich>
      </c:tx>
      <c:layout>
        <c:manualLayout>
          <c:xMode val="edge"/>
          <c:yMode val="edge"/>
          <c:x val="0.08924999999999998"/>
          <c:y val="0.03921832884097036"/>
        </c:manualLayout>
      </c:layout>
      <c:overlay val="0"/>
    </c:title>
    <c:plotArea>
      <c:layout/>
      <c:lineChart>
        <c:ser>
          <c:idx val="0"/>
          <c:order val="0"/>
          <c:tx>
            <c:strRef>
              <c:f>Calculations!$AB$198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Calculations!$AA$199:$AA$224</c:f>
            </c:strRef>
          </c:cat>
          <c:val>
            <c:numRef>
              <c:f>Calculations!$AB$199:$AB$224</c:f>
              <c:numCache/>
            </c:numRef>
          </c:val>
          <c:smooth val="0"/>
        </c:ser>
        <c:ser>
          <c:idx val="1"/>
          <c:order val="1"/>
          <c:tx>
            <c:strRef>
              <c:f>Calculations!$AC$198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Calculations!$AA$199:$AA$224</c:f>
            </c:strRef>
          </c:cat>
          <c:val>
            <c:numRef>
              <c:f>Calculations!$AC$199:$AC$224</c:f>
              <c:numCache/>
            </c:numRef>
          </c:val>
          <c:smooth val="0"/>
        </c:ser>
        <c:ser>
          <c:idx val="2"/>
          <c:order val="2"/>
          <c:tx>
            <c:v>ROP (398 pieces)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>Linear (ROP (398 pieces))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Calculations!$AA$199:$AA$224</c:f>
            </c:strRef>
          </c:cat>
          <c:val>
            <c:numRef>
              <c:f>Calculations!$AD$201:$AD$224</c:f>
              <c:numCache/>
            </c:numRef>
          </c:val>
          <c:smooth val="0"/>
        </c:ser>
        <c:axId val="139342071"/>
        <c:axId val="1402240380"/>
      </c:lineChart>
      <c:catAx>
        <c:axId val="139342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2240380"/>
      </c:catAx>
      <c:valAx>
        <c:axId val="1402240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(Pieces)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34207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Stock vs Closing Stock - - Stirrups Square(Pieces)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Calculations!$R$197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Calculations!$Q$198:$Q$223</c:f>
            </c:strRef>
          </c:cat>
          <c:val>
            <c:numRef>
              <c:f>Calculations!$R$198:$R$223</c:f>
              <c:numCache/>
            </c:numRef>
          </c:val>
          <c:smooth val="0"/>
        </c:ser>
        <c:ser>
          <c:idx val="1"/>
          <c:order val="1"/>
          <c:tx>
            <c:strRef>
              <c:f>Calculations!$S$197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Calculations!$Q$198:$Q$223</c:f>
            </c:strRef>
          </c:cat>
          <c:val>
            <c:numRef>
              <c:f>Calculations!$S$198:$S$223</c:f>
              <c:numCache/>
            </c:numRef>
          </c:val>
          <c:smooth val="0"/>
        </c:ser>
        <c:ser>
          <c:idx val="2"/>
          <c:order val="2"/>
          <c:tx>
            <c:strRef>
              <c:f>Calculations!$T$198</c:f>
            </c:strRef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Calculations!$Q$198:$Q$223</c:f>
            </c:strRef>
          </c:cat>
          <c:val>
            <c:numRef>
              <c:f>Calculations!$T$199:$T$223</c:f>
              <c:numCache/>
            </c:numRef>
          </c:val>
          <c:smooth val="0"/>
        </c:ser>
        <c:axId val="539507365"/>
        <c:axId val="434321192"/>
      </c:lineChart>
      <c:catAx>
        <c:axId val="539507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4321192"/>
      </c:catAx>
      <c:valAx>
        <c:axId val="434321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(Pieces)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9507365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Weekly Opening vs Closing Stock with Reorder Point (ROP) — TMT 8mm (Kg)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Opening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Calculations!$H$226:$H$252</c:f>
            </c:strRef>
          </c:cat>
          <c:val>
            <c:numRef>
              <c:f>Calculations!$I$226:$I$252</c:f>
              <c:numCache/>
            </c:numRef>
          </c:val>
          <c:smooth val="0"/>
        </c:ser>
        <c:ser>
          <c:idx val="1"/>
          <c:order val="1"/>
          <c:tx>
            <c:v>Closing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Calculations!$H$226:$H$252</c:f>
            </c:strRef>
          </c:cat>
          <c:val>
            <c:numRef>
              <c:f>Calculations!$J$226:$J$252</c:f>
              <c:numCache/>
            </c:numRef>
          </c:val>
          <c:smooth val="0"/>
        </c:ser>
        <c:ser>
          <c:idx val="2"/>
          <c:order val="2"/>
          <c:tx>
            <c:v>ROP (104 kg)</c:v>
          </c:tx>
          <c:spPr>
            <a:ln cmpd="sng" w="38100">
              <a:solidFill>
                <a:srgbClr val="000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>Linear (ROP (104 kg))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Calculations!$H$226:$H$252</c:f>
            </c:strRef>
          </c:cat>
          <c:val>
            <c:numRef>
              <c:f>Calculations!$K$227:$K$252</c:f>
              <c:numCache/>
            </c:numRef>
          </c:val>
          <c:smooth val="0"/>
        </c:ser>
        <c:axId val="137055259"/>
        <c:axId val="42993543"/>
      </c:lineChart>
      <c:catAx>
        <c:axId val="137055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993543"/>
      </c:catAx>
      <c:valAx>
        <c:axId val="42993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Stock Quantity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0552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Evidence of Pricing Inefficiency — Stirrup Circular Transactions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Calculations!$B$256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Calculations!$A$257:$A$318</c:f>
            </c:numRef>
          </c:xVal>
          <c:yVal>
            <c:numRef>
              <c:f>Calculations!$B$257:$B$318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314568"/>
        <c:axId val="1644123361"/>
      </c:scatterChart>
      <c:valAx>
        <c:axId val="18643145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4123361"/>
      </c:valAx>
      <c:valAx>
        <c:axId val="1644123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431456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Tarpaulin Cover Opening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Calculations!$B$226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Calculations!$B$227:$B$252</c:f>
              <c:numCache/>
            </c:numRef>
          </c:val>
          <c:smooth val="0"/>
        </c:ser>
        <c:ser>
          <c:idx val="1"/>
          <c:order val="1"/>
          <c:tx>
            <c:strRef>
              <c:f>Calculations!$C$226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Calculations!$C$227:$C$252</c:f>
              <c:numCache/>
            </c:numRef>
          </c:val>
          <c:smooth val="0"/>
        </c:ser>
        <c:ser>
          <c:idx val="2"/>
          <c:order val="2"/>
          <c:tx>
            <c:strRef>
              <c:f>Calculations!$D$227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Calculations!$A$227:$A$252</c:f>
            </c:strRef>
          </c:cat>
          <c:val>
            <c:numRef>
              <c:f>Calculations!$D$228:$D$252</c:f>
              <c:numCache/>
            </c:numRef>
          </c:val>
          <c:smooth val="0"/>
        </c:ser>
        <c:axId val="1278179577"/>
        <c:axId val="4313785"/>
      </c:lineChart>
      <c:catAx>
        <c:axId val="127817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13785"/>
      </c:catAx>
      <c:valAx>
        <c:axId val="431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81795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Evidence of Pricing Inefficiency — Stirrup Circular Transactions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Calculations!$B$256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Calculations!$A$257:$A$318</c:f>
            </c:numRef>
          </c:xVal>
          <c:yVal>
            <c:numRef>
              <c:f>Calculations!$B$257:$B$318</c:f>
              <c:numCache/>
            </c:numRef>
          </c:yVal>
        </c:ser>
        <c:ser>
          <c:idx val="1"/>
          <c:order val="1"/>
          <c:tx>
            <c:v>Zero Margin %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Calculations!$A$257:$A$318</c:f>
            </c:numRef>
          </c:xVal>
          <c:yVal>
            <c:numRef>
              <c:f>Calculations!$C$258:$C$318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132986"/>
        <c:axId val="955170201"/>
      </c:scatterChart>
      <c:valAx>
        <c:axId val="1736132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5170201"/>
      </c:valAx>
      <c:valAx>
        <c:axId val="955170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613298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3" Type="http://schemas.openxmlformats.org/officeDocument/2006/relationships/chart" Target="../charts/chart29.xml"/><Relationship Id="rId12" Type="http://schemas.openxmlformats.org/officeDocument/2006/relationships/chart" Target="../charts/chart28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5" Type="http://schemas.openxmlformats.org/officeDocument/2006/relationships/chart" Target="../charts/chart31.xml"/><Relationship Id="rId14" Type="http://schemas.openxmlformats.org/officeDocument/2006/relationships/chart" Target="../charts/chart30.xml"/><Relationship Id="rId16" Type="http://schemas.openxmlformats.org/officeDocument/2006/relationships/image" Target="../media/image1.png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165</xdr:row>
      <xdr:rowOff>85725</xdr:rowOff>
    </xdr:from>
    <xdr:ext cx="5715000" cy="3533775"/>
    <xdr:graphicFrame>
      <xdr:nvGraphicFramePr>
        <xdr:cNvPr id="93514816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457200</xdr:colOff>
      <xdr:row>165</xdr:row>
      <xdr:rowOff>19050</xdr:rowOff>
    </xdr:from>
    <xdr:ext cx="5715000" cy="3533775"/>
    <xdr:graphicFrame>
      <xdr:nvGraphicFramePr>
        <xdr:cNvPr id="178240456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457200</xdr:colOff>
      <xdr:row>164</xdr:row>
      <xdr:rowOff>133350</xdr:rowOff>
    </xdr:from>
    <xdr:ext cx="5829300" cy="3533775"/>
    <xdr:graphicFrame>
      <xdr:nvGraphicFramePr>
        <xdr:cNvPr id="211818599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676275</xdr:colOff>
      <xdr:row>157</xdr:row>
      <xdr:rowOff>133350</xdr:rowOff>
    </xdr:from>
    <xdr:ext cx="5219700" cy="3533775"/>
    <xdr:graphicFrame>
      <xdr:nvGraphicFramePr>
        <xdr:cNvPr id="128804303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28</xdr:col>
      <xdr:colOff>76200</xdr:colOff>
      <xdr:row>161</xdr:row>
      <xdr:rowOff>19050</xdr:rowOff>
    </xdr:from>
    <xdr:ext cx="5715000" cy="3533775"/>
    <xdr:graphicFrame>
      <xdr:nvGraphicFramePr>
        <xdr:cNvPr id="1442990979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866775</xdr:colOff>
      <xdr:row>196</xdr:row>
      <xdr:rowOff>114300</xdr:rowOff>
    </xdr:from>
    <xdr:ext cx="5715000" cy="3533775"/>
    <xdr:graphicFrame>
      <xdr:nvGraphicFramePr>
        <xdr:cNvPr id="1256339362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771525</xdr:colOff>
      <xdr:row>196</xdr:row>
      <xdr:rowOff>114300</xdr:rowOff>
    </xdr:from>
    <xdr:ext cx="3771900" cy="3533775"/>
    <xdr:graphicFrame>
      <xdr:nvGraphicFramePr>
        <xdr:cNvPr id="630459248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27</xdr:col>
      <xdr:colOff>390525</xdr:colOff>
      <xdr:row>196</xdr:row>
      <xdr:rowOff>114300</xdr:rowOff>
    </xdr:from>
    <xdr:ext cx="5715000" cy="3533775"/>
    <xdr:graphicFrame>
      <xdr:nvGraphicFramePr>
        <xdr:cNvPr id="1978132565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196</xdr:row>
      <xdr:rowOff>28575</xdr:rowOff>
    </xdr:from>
    <xdr:ext cx="3819525" cy="3533775"/>
    <xdr:graphicFrame>
      <xdr:nvGraphicFramePr>
        <xdr:cNvPr id="936951022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981075</xdr:colOff>
      <xdr:row>196</xdr:row>
      <xdr:rowOff>28575</xdr:rowOff>
    </xdr:from>
    <xdr:ext cx="5715000" cy="3533775"/>
    <xdr:graphicFrame>
      <xdr:nvGraphicFramePr>
        <xdr:cNvPr id="1127421057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819150</xdr:colOff>
      <xdr:row>195</xdr:row>
      <xdr:rowOff>142875</xdr:rowOff>
    </xdr:from>
    <xdr:ext cx="4457700" cy="3533775"/>
    <xdr:graphicFrame>
      <xdr:nvGraphicFramePr>
        <xdr:cNvPr id="391417492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76200</xdr:colOff>
      <xdr:row>225</xdr:row>
      <xdr:rowOff>19050</xdr:rowOff>
    </xdr:from>
    <xdr:ext cx="5715000" cy="3533775"/>
    <xdr:graphicFrame>
      <xdr:nvGraphicFramePr>
        <xdr:cNvPr id="1971293741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17</xdr:col>
      <xdr:colOff>9525</xdr:colOff>
      <xdr:row>164</xdr:row>
      <xdr:rowOff>66675</xdr:rowOff>
    </xdr:from>
    <xdr:ext cx="5715000" cy="3533775"/>
    <xdr:graphicFrame>
      <xdr:nvGraphicFramePr>
        <xdr:cNvPr id="1000917755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19050</xdr:colOff>
      <xdr:row>225</xdr:row>
      <xdr:rowOff>76200</xdr:rowOff>
    </xdr:from>
    <xdr:ext cx="5715000" cy="3533775"/>
    <xdr:graphicFrame>
      <xdr:nvGraphicFramePr>
        <xdr:cNvPr id="887796075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409575</xdr:colOff>
      <xdr:row>261</xdr:row>
      <xdr:rowOff>180975</xdr:rowOff>
    </xdr:from>
    <xdr:ext cx="5715000" cy="3533775"/>
    <xdr:graphicFrame>
      <xdr:nvGraphicFramePr>
        <xdr:cNvPr id="6646804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228600</xdr:colOff>
      <xdr:row>270</xdr:row>
      <xdr:rowOff>171450</xdr:rowOff>
    </xdr:from>
    <xdr:ext cx="7467600" cy="4629150"/>
    <xdr:graphicFrame>
      <xdr:nvGraphicFramePr>
        <xdr:cNvPr id="1315591692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627500955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885825</xdr:colOff>
      <xdr:row>0</xdr:row>
      <xdr:rowOff>0</xdr:rowOff>
    </xdr:from>
    <xdr:ext cx="5715000" cy="3533775"/>
    <xdr:graphicFrame>
      <xdr:nvGraphicFramePr>
        <xdr:cNvPr id="1901672427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847725</xdr:colOff>
      <xdr:row>1</xdr:row>
      <xdr:rowOff>123825</xdr:rowOff>
    </xdr:from>
    <xdr:ext cx="4886325" cy="3019425"/>
    <xdr:graphicFrame>
      <xdr:nvGraphicFramePr>
        <xdr:cNvPr id="182679460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</xdr:colOff>
      <xdr:row>20</xdr:row>
      <xdr:rowOff>28575</xdr:rowOff>
    </xdr:from>
    <xdr:ext cx="4629150" cy="2857500"/>
    <xdr:graphicFrame>
      <xdr:nvGraphicFramePr>
        <xdr:cNvPr id="1556663873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</xdr:colOff>
      <xdr:row>49</xdr:row>
      <xdr:rowOff>190500</xdr:rowOff>
    </xdr:from>
    <xdr:ext cx="7972425" cy="4200525"/>
    <xdr:graphicFrame>
      <xdr:nvGraphicFramePr>
        <xdr:cNvPr id="163876155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28575</xdr:colOff>
      <xdr:row>52</xdr:row>
      <xdr:rowOff>104775</xdr:rowOff>
    </xdr:from>
    <xdr:ext cx="6629400" cy="3533775"/>
    <xdr:graphicFrame>
      <xdr:nvGraphicFramePr>
        <xdr:cNvPr id="1692737240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219075</xdr:colOff>
      <xdr:row>0</xdr:row>
      <xdr:rowOff>85725</xdr:rowOff>
    </xdr:from>
    <xdr:ext cx="5924550" cy="3362325"/>
    <xdr:graphicFrame>
      <xdr:nvGraphicFramePr>
        <xdr:cNvPr id="1155352947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18</xdr:col>
      <xdr:colOff>304800</xdr:colOff>
      <xdr:row>19</xdr:row>
      <xdr:rowOff>38100</xdr:rowOff>
    </xdr:from>
    <xdr:ext cx="5924550" cy="3438525"/>
    <xdr:graphicFrame>
      <xdr:nvGraphicFramePr>
        <xdr:cNvPr id="2004435918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190500</xdr:colOff>
      <xdr:row>53</xdr:row>
      <xdr:rowOff>171450</xdr:rowOff>
    </xdr:from>
    <xdr:ext cx="6153150" cy="3533775"/>
    <xdr:graphicFrame>
      <xdr:nvGraphicFramePr>
        <xdr:cNvPr id="2021208446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742950</xdr:colOff>
      <xdr:row>71</xdr:row>
      <xdr:rowOff>57150</xdr:rowOff>
    </xdr:from>
    <xdr:ext cx="5715000" cy="3533775"/>
    <xdr:graphicFrame>
      <xdr:nvGraphicFramePr>
        <xdr:cNvPr id="1228909787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152400</xdr:colOff>
      <xdr:row>90</xdr:row>
      <xdr:rowOff>9525</xdr:rowOff>
    </xdr:from>
    <xdr:ext cx="5715000" cy="3533775"/>
    <xdr:graphicFrame>
      <xdr:nvGraphicFramePr>
        <xdr:cNvPr id="1375364544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18</xdr:col>
      <xdr:colOff>142875</xdr:colOff>
      <xdr:row>35</xdr:row>
      <xdr:rowOff>142875</xdr:rowOff>
    </xdr:from>
    <xdr:ext cx="5715000" cy="3533775"/>
    <xdr:graphicFrame>
      <xdr:nvGraphicFramePr>
        <xdr:cNvPr id="503789796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485775</xdr:colOff>
      <xdr:row>71</xdr:row>
      <xdr:rowOff>200025</xdr:rowOff>
    </xdr:from>
    <xdr:ext cx="5457825" cy="3533775"/>
    <xdr:graphicFrame>
      <xdr:nvGraphicFramePr>
        <xdr:cNvPr id="1507935952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</xdr:col>
      <xdr:colOff>781050</xdr:colOff>
      <xdr:row>89</xdr:row>
      <xdr:rowOff>114300</xdr:rowOff>
    </xdr:from>
    <xdr:ext cx="5715000" cy="3533775"/>
    <xdr:graphicFrame>
      <xdr:nvGraphicFramePr>
        <xdr:cNvPr id="2084342891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</xdr:col>
      <xdr:colOff>419100</xdr:colOff>
      <xdr:row>71</xdr:row>
      <xdr:rowOff>133350</xdr:rowOff>
    </xdr:from>
    <xdr:ext cx="5715000" cy="3533775"/>
    <xdr:graphicFrame>
      <xdr:nvGraphicFramePr>
        <xdr:cNvPr id="743598265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16</xdr:col>
      <xdr:colOff>838200</xdr:colOff>
      <xdr:row>71</xdr:row>
      <xdr:rowOff>200025</xdr:rowOff>
    </xdr:from>
    <xdr:ext cx="6762750" cy="2085975"/>
    <xdr:grpSp>
      <xdr:nvGrpSpPr>
        <xdr:cNvPr id="2" name="Shape 2" title="Drawing"/>
        <xdr:cNvGrpSpPr/>
      </xdr:nvGrpSpPr>
      <xdr:grpSpPr>
        <a:xfrm>
          <a:off x="1964625" y="2737013"/>
          <a:ext cx="6762750" cy="2085975"/>
          <a:chOff x="1964625" y="2737013"/>
          <a:chExt cx="6762750" cy="2085975"/>
        </a:xfrm>
      </xdr:grpSpPr>
      <xdr:grpSp>
        <xdr:nvGrpSpPr>
          <xdr:cNvPr id="3" name="Shape 3" title="Drawing"/>
          <xdr:cNvGrpSpPr/>
        </xdr:nvGrpSpPr>
        <xdr:grpSpPr>
          <a:xfrm>
            <a:off x="1964625" y="2737013"/>
            <a:ext cx="6762750" cy="2085975"/>
            <a:chOff x="30025" y="890675"/>
            <a:chExt cx="9586850" cy="2931975"/>
          </a:xfrm>
        </xdr:grpSpPr>
        <xdr:sp>
          <xdr:nvSpPr>
            <xdr:cNvPr id="4" name="Shape 4"/>
            <xdr:cNvSpPr/>
          </xdr:nvSpPr>
          <xdr:spPr>
            <a:xfrm>
              <a:off x="30025" y="890675"/>
              <a:ext cx="9586850" cy="293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30025" y="1671200"/>
              <a:ext cx="1451100" cy="1090800"/>
            </a:xfrm>
            <a:prstGeom prst="roundRect">
              <a:avLst>
                <a:gd fmla="val 16667" name="adj"/>
              </a:avLst>
            </a:prstGeom>
            <a:solidFill>
              <a:srgbClr val="CFE2F3"/>
            </a:solidFill>
            <a:ln cap="flat" cmpd="sng" w="9525">
              <a:solidFill>
                <a:srgbClr val="0000FF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0000FF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0000FF"/>
                  </a:solidFill>
                </a:rPr>
                <a:t>Raw Data Collection</a:t>
              </a:r>
              <a:endParaRPr b="1" sz="1200">
                <a:solidFill>
                  <a:srgbClr val="0000FF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0000FF"/>
                </a:buClr>
                <a:buSzPts val="1100"/>
                <a:buFont typeface="Arial"/>
                <a:buNone/>
              </a:pPr>
              <a:r>
                <a:rPr lang="en-US" sz="1100">
                  <a:solidFill>
                    <a:srgbClr val="0000FF"/>
                  </a:solidFill>
                </a:rPr>
                <a:t>(</a:t>
              </a:r>
              <a:r>
                <a:rPr lang="en-US" sz="900">
                  <a:solidFill>
                    <a:srgbClr val="0000FF"/>
                  </a:solidFill>
                </a:rPr>
                <a:t>721 handwritten bills)</a:t>
              </a:r>
              <a:endParaRPr sz="900">
                <a:solidFill>
                  <a:srgbClr val="0000FF"/>
                </a:solidFill>
              </a:endParaRPr>
            </a:p>
          </xdr:txBody>
        </xdr:sp>
        <xdr:sp>
          <xdr:nvSpPr>
            <xdr:cNvPr id="6" name="Shape 6"/>
            <xdr:cNvSpPr/>
          </xdr:nvSpPr>
          <xdr:spPr>
            <a:xfrm>
              <a:off x="2051475" y="1671100"/>
              <a:ext cx="1451100" cy="1090800"/>
            </a:xfrm>
            <a:prstGeom prst="roundRect">
              <a:avLst>
                <a:gd fmla="val 16667" name="adj"/>
              </a:avLst>
            </a:prstGeom>
            <a:solidFill>
              <a:srgbClr val="FFF2CC"/>
            </a:solidFill>
            <a:ln cap="flat" cmpd="sng" w="9525">
              <a:solidFill>
                <a:srgbClr val="B45F06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E69138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E69138"/>
                  </a:solidFill>
                </a:rPr>
                <a:t>Raw Sales Data</a:t>
              </a:r>
              <a:endParaRPr b="1" sz="1200">
                <a:solidFill>
                  <a:srgbClr val="E69138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E69138"/>
                </a:buClr>
                <a:buSzPts val="900"/>
                <a:buFont typeface="Arial"/>
                <a:buNone/>
              </a:pPr>
              <a:r>
                <a:rPr lang="en-US" sz="900">
                  <a:solidFill>
                    <a:srgbClr val="E69138"/>
                  </a:solidFill>
                </a:rPr>
                <a:t>(721 rows , 9 columns)</a:t>
              </a:r>
              <a:endParaRPr sz="900">
                <a:solidFill>
                  <a:srgbClr val="E69138"/>
                </a:solidFill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4032900" y="1671100"/>
              <a:ext cx="1681200" cy="1090800"/>
            </a:xfrm>
            <a:prstGeom prst="roundRect">
              <a:avLst>
                <a:gd fmla="val 16667" name="adj"/>
              </a:avLst>
            </a:prstGeom>
            <a:solidFill>
              <a:srgbClr val="D9EAD3"/>
            </a:solidFill>
            <a:ln cap="flat" cmpd="sng" w="9525">
              <a:solidFill>
                <a:srgbClr val="6AA84F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AA84F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6AA84F"/>
                  </a:solidFill>
                </a:rPr>
                <a:t>Cleaned Data</a:t>
              </a:r>
              <a:endParaRPr b="1" sz="1200">
                <a:solidFill>
                  <a:srgbClr val="6AA84F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r>
                <a:t/>
              </a:r>
              <a:endParaRPr sz="1200">
                <a:solidFill>
                  <a:srgbClr val="6AA84F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AA84F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rgbClr val="6AA84F"/>
                  </a:solidFill>
                </a:rPr>
                <a:t>Datewise, Productwise</a:t>
              </a:r>
              <a:endParaRPr sz="1000">
                <a:solidFill>
                  <a:srgbClr val="6AA84F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AA84F"/>
                </a:buClr>
                <a:buSzPts val="900"/>
                <a:buFont typeface="Arial"/>
                <a:buNone/>
              </a:pPr>
              <a:r>
                <a:rPr lang="en-US" sz="900">
                  <a:solidFill>
                    <a:srgbClr val="6AA84F"/>
                  </a:solidFill>
                </a:rPr>
                <a:t>(186 rows , 17 columns)</a:t>
              </a:r>
              <a:endParaRPr sz="900">
                <a:solidFill>
                  <a:srgbClr val="6AA84F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900"/>
                <a:buFont typeface="Arial"/>
                <a:buNone/>
              </a:pPr>
              <a:r>
                <a:t/>
              </a:r>
              <a:endParaRPr sz="900">
                <a:solidFill>
                  <a:srgbClr val="6AA84F"/>
                </a:solidFill>
              </a:endParaRPr>
            </a:p>
          </xdr:txBody>
        </xdr:sp>
        <xdr:sp>
          <xdr:nvSpPr>
            <xdr:cNvPr id="8" name="Shape 8"/>
            <xdr:cNvSpPr/>
          </xdr:nvSpPr>
          <xdr:spPr>
            <a:xfrm>
              <a:off x="6244413" y="890675"/>
              <a:ext cx="1451100" cy="1040700"/>
            </a:xfrm>
            <a:prstGeom prst="roundRect">
              <a:avLst>
                <a:gd fmla="val 16667" name="adj"/>
              </a:avLst>
            </a:prstGeom>
            <a:solidFill>
              <a:srgbClr val="F4CCCC"/>
            </a:solidFill>
            <a:ln cap="flat" cmpd="sng" w="9525">
              <a:solidFill>
                <a:srgbClr val="CC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E06666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E06666"/>
                  </a:solidFill>
                </a:rPr>
                <a:t>Inventory Data</a:t>
              </a:r>
              <a:endParaRPr b="1" sz="1200">
                <a:solidFill>
                  <a:srgbClr val="E06666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t/>
              </a:r>
              <a:endParaRPr sz="1100">
                <a:solidFill>
                  <a:srgbClr val="E06666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E06666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rgbClr val="E06666"/>
                  </a:solidFill>
                </a:rPr>
                <a:t>Opening / Closing</a:t>
              </a:r>
              <a:endParaRPr sz="1000">
                <a:solidFill>
                  <a:srgbClr val="E06666"/>
                </a:solidFill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rgbClr val="E06666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rgbClr val="E06666"/>
                  </a:solidFill>
                </a:rPr>
                <a:t>           Stock</a:t>
              </a:r>
              <a:endParaRPr sz="1000">
                <a:solidFill>
                  <a:srgbClr val="E06666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E06666"/>
                </a:buClr>
                <a:buSzPts val="900"/>
                <a:buFont typeface="Arial"/>
                <a:buNone/>
              </a:pPr>
              <a:r>
                <a:rPr lang="en-US" sz="900">
                  <a:solidFill>
                    <a:srgbClr val="E06666"/>
                  </a:solidFill>
                </a:rPr>
                <a:t>(week wise)</a:t>
              </a:r>
              <a:endParaRPr sz="900">
                <a:solidFill>
                  <a:srgbClr val="E06666"/>
                </a:solidFill>
              </a:endParaRPr>
            </a:p>
          </xdr:txBody>
        </xdr:sp>
        <xdr:sp>
          <xdr:nvSpPr>
            <xdr:cNvPr id="9" name="Shape 9"/>
            <xdr:cNvSpPr/>
          </xdr:nvSpPr>
          <xdr:spPr>
            <a:xfrm>
              <a:off x="6244425" y="2781950"/>
              <a:ext cx="1451100" cy="1040700"/>
            </a:xfrm>
            <a:prstGeom prst="roundRect">
              <a:avLst>
                <a:gd fmla="val 16667" name="adj"/>
              </a:avLst>
            </a:prstGeom>
            <a:solidFill>
              <a:srgbClr val="EAD1DC"/>
            </a:solidFill>
            <a:ln cap="flat" cmpd="sng" w="9525">
              <a:solidFill>
                <a:srgbClr val="A64D7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C27BA0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C27BA0"/>
                  </a:solidFill>
                </a:rPr>
                <a:t>Purchase Data</a:t>
              </a:r>
              <a:endParaRPr b="1" sz="1200">
                <a:solidFill>
                  <a:srgbClr val="C27BA0"/>
                </a:solidFill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C27BA0"/>
                </a:buClr>
                <a:buSzPts val="900"/>
                <a:buFont typeface="Arial"/>
                <a:buNone/>
              </a:pPr>
              <a:r>
                <a:rPr lang="en-US" sz="900">
                  <a:solidFill>
                    <a:srgbClr val="C27BA0"/>
                  </a:solidFill>
                </a:rPr>
                <a:t>(Weekly Procurement)</a:t>
              </a:r>
              <a:endParaRPr sz="900">
                <a:solidFill>
                  <a:srgbClr val="C27BA0"/>
                </a:solidFill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8165775" y="1751200"/>
              <a:ext cx="1451100" cy="1040700"/>
            </a:xfrm>
            <a:prstGeom prst="roundRect">
              <a:avLst>
                <a:gd fmla="val 16667" name="adj"/>
              </a:avLst>
            </a:prstGeom>
            <a:solidFill>
              <a:srgbClr val="D9D9D9"/>
            </a:solidFill>
            <a:ln cap="flat" cmpd="sng" w="9525">
              <a:solidFill>
                <a:srgbClr val="999999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666666"/>
                </a:buClr>
                <a:buSzPts val="1200"/>
                <a:buFont typeface="Arial"/>
                <a:buNone/>
              </a:pPr>
              <a:r>
                <a:rPr b="1" lang="en-US" sz="1200">
                  <a:solidFill>
                    <a:srgbClr val="666666"/>
                  </a:solidFill>
                </a:rPr>
                <a:t>Calculations and Visuals</a:t>
              </a:r>
              <a:endParaRPr b="1" sz="1200">
                <a:solidFill>
                  <a:srgbClr val="666666"/>
                </a:solidFill>
              </a:endParaRPr>
            </a:p>
          </xdr:txBody>
        </xdr:sp>
        <xdr:cxnSp>
          <xdr:nvCxnSpPr>
            <xdr:cNvPr id="11" name="Shape 11"/>
            <xdr:cNvCxnSpPr>
              <a:stCxn id="5" idx="3"/>
              <a:endCxn id="6" idx="1"/>
            </xdr:cNvCxnSpPr>
          </xdr:nvCxnSpPr>
          <xdr:spPr>
            <a:xfrm>
              <a:off x="1481125" y="2216600"/>
              <a:ext cx="5703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2" name="Shape 12"/>
            <xdr:cNvCxnSpPr>
              <a:stCxn id="6" idx="3"/>
              <a:endCxn id="7" idx="1"/>
            </xdr:cNvCxnSpPr>
          </xdr:nvCxnSpPr>
          <xdr:spPr>
            <a:xfrm>
              <a:off x="3502575" y="2216500"/>
              <a:ext cx="5304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3" name="Shape 13"/>
            <xdr:cNvCxnSpPr>
              <a:stCxn id="7" idx="3"/>
              <a:endCxn id="8" idx="1"/>
            </xdr:cNvCxnSpPr>
          </xdr:nvCxnSpPr>
          <xdr:spPr>
            <a:xfrm flipH="1" rot="10800000">
              <a:off x="5714100" y="1411000"/>
              <a:ext cx="530400" cy="8055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4" name="Shape 14"/>
            <xdr:cNvCxnSpPr>
              <a:stCxn id="7" idx="3"/>
              <a:endCxn id="9" idx="1"/>
            </xdr:cNvCxnSpPr>
          </xdr:nvCxnSpPr>
          <xdr:spPr>
            <a:xfrm>
              <a:off x="5714100" y="2216500"/>
              <a:ext cx="530400" cy="10857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5" name="Shape 15"/>
            <xdr:cNvCxnSpPr>
              <a:stCxn id="9" idx="3"/>
              <a:endCxn id="10" idx="1"/>
            </xdr:cNvCxnSpPr>
          </xdr:nvCxnSpPr>
          <xdr:spPr>
            <a:xfrm flipH="1" rot="10800000">
              <a:off x="7695525" y="2271500"/>
              <a:ext cx="470400" cy="10308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  <xdr:cxnSp>
          <xdr:nvCxnSpPr>
            <xdr:cNvPr id="16" name="Shape 16"/>
            <xdr:cNvCxnSpPr>
              <a:stCxn id="8" idx="3"/>
              <a:endCxn id="10" idx="1"/>
            </xdr:cNvCxnSpPr>
          </xdr:nvCxnSpPr>
          <xdr:spPr>
            <a:xfrm>
              <a:off x="7695513" y="1411025"/>
              <a:ext cx="470400" cy="8604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342900</xdr:colOff>
      <xdr:row>18</xdr:row>
      <xdr:rowOff>19050</xdr:rowOff>
    </xdr:from>
    <xdr:ext cx="10153650" cy="6715125"/>
    <xdr:pic>
      <xdr:nvPicPr>
        <xdr:cNvPr id="0" name="image1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totalsRowCount="1" headerRowCount="0" ref="K9:M16" displayName="Table_1" name="Table_1" id="1">
  <tableColumns count="3">
    <tableColumn name="Column1" id="1"/>
    <tableColumn name="Column2" id="2"/>
    <tableColumn name="Column3" id="3"/>
  </tableColumns>
  <tableStyleInfo name="Raw Sales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2" displayName="Table_2" name="Table_2" id="2">
  <tableColumns count="1">
    <tableColumn name="Column1" id="1"/>
  </tableColumns>
  <tableStyleInfo name="Calculations-style" showColumnStripes="0" showFirstColumn="1" showLastColumn="1" showRowStripes="1"/>
</table>
</file>

<file path=xl/tables/table3.xml><?xml version="1.0" encoding="utf-8"?>
<table xmlns="http://schemas.openxmlformats.org/spreadsheetml/2006/main" ref="A4:M18" displayName="Table2" name="Table2" id="3">
  <tableColumns count="13">
    <tableColumn name="Product" id="1"/>
    <tableColumn name="Mean" id="2"/>
    <tableColumn name="Median" id="3"/>
    <tableColumn name="Mode" id="4"/>
    <tableColumn name="Column 11" id="5"/>
    <tableColumn name="Standard_x000a_Deviation" id="6"/>
    <tableColumn name="Min" id="7"/>
    <tableColumn name="Column 12" id="8"/>
    <tableColumn name="Max" id="9"/>
    <tableColumn name="Range" id="10"/>
    <tableColumn name="Column 13" id="11"/>
    <tableColumn name="Sum" id="12"/>
    <tableColumn name="Count_x000a_(Sale Days)" id="13"/>
  </tableColumns>
  <tableStyleInfo name="Calculations-style 2" showColumnStripes="0" showFirstColumn="1" showLastColumn="1" showRowStripes="1"/>
</table>
</file>

<file path=xl/tables/table4.xml><?xml version="1.0" encoding="utf-8"?>
<table xmlns="http://schemas.openxmlformats.org/spreadsheetml/2006/main" totalsRowCount="1" ref="O4:Q11" displayName="Table_3" name="Table_3" id="4">
  <tableColumns count="3">
    <tableColumn totalsRowLabel="TOTAL" name="Month " id="1"/>
    <tableColumn totalsRowLabel="2640294" name="Revenue" id="2"/>
    <tableColumn totalsRowLabel="372284" name="Profit" id="3"/>
  </tableColumns>
  <tableStyleInfo name="Calculations-style 3" showColumnStripes="0" showFirstColumn="1" showLastColumn="1" showRowStripes="1"/>
</table>
</file>

<file path=xl/tables/table5.xml><?xml version="1.0" encoding="utf-8"?>
<table xmlns="http://schemas.openxmlformats.org/spreadsheetml/2006/main" totalsRowCount="1" ref="S4:U11" displayName="Table3" name="Table3" id="5">
  <tableColumns count="3">
    <tableColumn totalsRowLabel="TOTAL" name="Month " id="1"/>
    <tableColumn totalsRowLabel="2640294" name="Revenue" id="2"/>
    <tableColumn totalsRowLabel="372284" name="Profit" id="3"/>
  </tableColumns>
  <tableStyleInfo name="Calculations-style 4" showColumnStripes="0" showFirstColumn="1" showLastColumn="1" showRowStripes="1"/>
</table>
</file>

<file path=xl/tables/table6.xml><?xml version="1.0" encoding="utf-8"?>
<table xmlns="http://schemas.openxmlformats.org/spreadsheetml/2006/main" ref="W7:AE11" displayName="Table1" name="Table1" id="6">
  <tableColumns count="9">
    <tableColumn name="Product" id="1"/>
    <tableColumn name="Unit" id="2"/>
    <tableColumn name="Data Type" id="3"/>
    <tableColumn name="Mean" id="4"/>
    <tableColumn name="Standard_x000a_Deviation" id="5"/>
    <tableColumn name="Min" id="6"/>
    <tableColumn name="Max" id="7"/>
    <tableColumn name="Count_x000a_(Sale Days)" id="8"/>
    <tableColumn name="Skewness" id="9"/>
  </tableColumns>
  <tableStyleInfo name="Calculations-style 5" showColumnStripes="0" showFirstColumn="1" showLastColumn="1" showRowStripes="1"/>
</table>
</file>

<file path=xl/tables/table7.xml><?xml version="1.0" encoding="utf-8"?>
<table xmlns="http://schemas.openxmlformats.org/spreadsheetml/2006/main" totalsRowCount="1" ref="O14:T21" displayName="Table_4" name="Table_4" id="7">
  <tableColumns count="6">
    <tableColumn totalsRowLabel="TOTAL" name="Month" id="1"/>
    <tableColumn totalsRowFunction="custom" name="Nuvoco" id="2"/>
    <tableColumn totalsRowFunction="custom" name="JSW" id="3"/>
    <tableColumn totalsRowFunction="custom" name="Ultratech" id="4"/>
    <tableColumn totalsRowFunction="custom" name="Concreto" id="5"/>
    <tableColumn totalsRowFunction="custom" name="TOTAL" id="6"/>
  </tableColumns>
  <tableStyleInfo name="Calculations-style 6" showColumnStripes="0" showFirstColumn="1" showLastColumn="1" showRowStripes="1"/>
</table>
</file>

<file path=xl/tables/table8.xml><?xml version="1.0" encoding="utf-8"?>
<table xmlns="http://schemas.openxmlformats.org/spreadsheetml/2006/main" headerRowCount="0" ref="A23:G33" displayName="Table_5" name="Table_5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lculation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J23:O27" displayName="Table_6" name="Table_6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culation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J29:O32" displayName="Table_7" name="Table_7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culation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J34:O37" displayName="Table_8" name="Table_8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culation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J5:J18" displayName="Table_9" name="Table_9" id="12">
  <tableColumns count="1">
    <tableColumn name="Column1" id="1"/>
  </tableColumns>
  <tableStyleInfo name="Visuals-style" showColumnStripes="0" showFirstColumn="1" showLastColumn="1" showRowStripes="1"/>
</table>
</file>

<file path=xl/tables/table13.xml><?xml version="1.0" encoding="utf-8"?>
<table xmlns="http://schemas.openxmlformats.org/spreadsheetml/2006/main" ref="B39:D48" displayName="Table_10" name="Table_10" id="13">
  <tableColumns count="3">
    <tableColumn name="Column" id="1"/>
    <tableColumn name="Data Type" id="2"/>
    <tableColumn name="Purpose in Analysis" id="3"/>
  </tableColumns>
  <tableStyleInfo name="Visual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" Type="http://schemas.openxmlformats.org/officeDocument/2006/relationships/drawing" Target="../drawings/drawing5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0.38"/>
    <col customWidth="1" min="3" max="3" width="16.88"/>
    <col customWidth="1" min="4" max="4" width="12.63"/>
    <col customWidth="1" min="5" max="5" width="11.88"/>
    <col customWidth="1" min="6" max="7" width="14.13"/>
    <col customWidth="1" min="8" max="8" width="18.75"/>
    <col customWidth="1" min="9" max="9" width="1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75" customHeight="1">
      <c r="A2" s="3" t="s">
        <v>10</v>
      </c>
      <c r="B2" s="3" t="s">
        <v>11</v>
      </c>
      <c r="C2" s="3" t="s">
        <v>12</v>
      </c>
      <c r="D2" s="3">
        <v>10.0</v>
      </c>
      <c r="E2" s="3" t="s">
        <v>13</v>
      </c>
      <c r="F2" s="3">
        <v>270.0</v>
      </c>
      <c r="G2" s="3">
        <v>340.0</v>
      </c>
      <c r="H2" s="4">
        <f t="shared" ref="H2:H721" si="1">D2*G2</f>
        <v>3400</v>
      </c>
      <c r="I2" s="4">
        <f t="shared" ref="I2:I721" si="2">(G2 - F2) * D2</f>
        <v>700</v>
      </c>
      <c r="J2" s="4">
        <f t="shared" ref="J2:J721" si="3">(G2-F2)/G2*100</f>
        <v>20.58823529</v>
      </c>
    </row>
    <row r="3" ht="15.75" customHeight="1">
      <c r="A3" s="3" t="s">
        <v>10</v>
      </c>
      <c r="B3" s="3" t="s">
        <v>14</v>
      </c>
      <c r="C3" s="3" t="s">
        <v>12</v>
      </c>
      <c r="D3" s="3">
        <v>20.0</v>
      </c>
      <c r="E3" s="3" t="s">
        <v>13</v>
      </c>
      <c r="F3" s="3">
        <v>290.0</v>
      </c>
      <c r="G3" s="3">
        <v>350.0</v>
      </c>
      <c r="H3" s="4">
        <f t="shared" si="1"/>
        <v>7000</v>
      </c>
      <c r="I3" s="4">
        <f t="shared" si="2"/>
        <v>1200</v>
      </c>
      <c r="J3" s="4">
        <f t="shared" si="3"/>
        <v>17.14285714</v>
      </c>
    </row>
    <row r="4" ht="15.75" customHeight="1">
      <c r="A4" s="3" t="s">
        <v>10</v>
      </c>
      <c r="B4" s="3" t="s">
        <v>15</v>
      </c>
      <c r="C4" s="3" t="s">
        <v>12</v>
      </c>
      <c r="D4" s="3">
        <v>5.0</v>
      </c>
      <c r="E4" s="3" t="s">
        <v>13</v>
      </c>
      <c r="F4" s="3">
        <v>270.0</v>
      </c>
      <c r="G4" s="3">
        <v>320.0</v>
      </c>
      <c r="H4" s="4">
        <f t="shared" si="1"/>
        <v>1600</v>
      </c>
      <c r="I4" s="4">
        <f t="shared" si="2"/>
        <v>250</v>
      </c>
      <c r="J4" s="4">
        <f t="shared" si="3"/>
        <v>15.625</v>
      </c>
    </row>
    <row r="5" ht="15.75" customHeight="1">
      <c r="A5" s="3" t="s">
        <v>16</v>
      </c>
      <c r="B5" s="3" t="s">
        <v>17</v>
      </c>
      <c r="C5" s="3" t="s">
        <v>18</v>
      </c>
      <c r="D5" s="3">
        <v>100.0</v>
      </c>
      <c r="E5" s="3" t="s">
        <v>19</v>
      </c>
      <c r="F5" s="3">
        <v>8.0</v>
      </c>
      <c r="G5" s="3">
        <v>12.0</v>
      </c>
      <c r="H5" s="4">
        <f t="shared" si="1"/>
        <v>1200</v>
      </c>
      <c r="I5" s="4">
        <f t="shared" si="2"/>
        <v>400</v>
      </c>
      <c r="J5" s="4">
        <f t="shared" si="3"/>
        <v>33.33333333</v>
      </c>
    </row>
    <row r="6" ht="15.75" customHeight="1">
      <c r="A6" s="3" t="s">
        <v>16</v>
      </c>
      <c r="B6" s="3" t="s">
        <v>20</v>
      </c>
      <c r="C6" s="3" t="s">
        <v>18</v>
      </c>
      <c r="D6" s="3">
        <v>150.0</v>
      </c>
      <c r="E6" s="3" t="s">
        <v>19</v>
      </c>
      <c r="F6" s="3">
        <v>9.0</v>
      </c>
      <c r="G6" s="3">
        <v>10.0</v>
      </c>
      <c r="H6" s="4">
        <f t="shared" si="1"/>
        <v>1500</v>
      </c>
      <c r="I6" s="4">
        <f t="shared" si="2"/>
        <v>150</v>
      </c>
      <c r="J6" s="4">
        <f t="shared" si="3"/>
        <v>10</v>
      </c>
    </row>
    <row r="7" ht="15.75" customHeight="1">
      <c r="A7" s="3" t="s">
        <v>16</v>
      </c>
      <c r="B7" s="3" t="s">
        <v>21</v>
      </c>
      <c r="C7" s="3" t="s">
        <v>22</v>
      </c>
      <c r="D7" s="3">
        <v>5.0</v>
      </c>
      <c r="E7" s="3" t="s">
        <v>23</v>
      </c>
      <c r="F7" s="3">
        <v>70.0</v>
      </c>
      <c r="G7" s="3">
        <v>76.0</v>
      </c>
      <c r="H7" s="4">
        <f t="shared" si="1"/>
        <v>380</v>
      </c>
      <c r="I7" s="4">
        <f t="shared" si="2"/>
        <v>30</v>
      </c>
      <c r="J7" s="4">
        <f t="shared" si="3"/>
        <v>7.894736842</v>
      </c>
    </row>
    <row r="8" ht="15.75" customHeight="1">
      <c r="A8" s="3" t="s">
        <v>16</v>
      </c>
      <c r="B8" s="3" t="s">
        <v>24</v>
      </c>
      <c r="C8" s="3" t="s">
        <v>25</v>
      </c>
      <c r="D8" s="3">
        <v>71.0</v>
      </c>
      <c r="E8" s="3" t="s">
        <v>23</v>
      </c>
      <c r="F8" s="3">
        <v>51.0</v>
      </c>
      <c r="G8" s="3">
        <v>55.0</v>
      </c>
      <c r="H8" s="4">
        <f t="shared" si="1"/>
        <v>3905</v>
      </c>
      <c r="I8" s="4">
        <f t="shared" si="2"/>
        <v>284</v>
      </c>
      <c r="J8" s="4">
        <f t="shared" si="3"/>
        <v>7.272727273</v>
      </c>
      <c r="K8" s="5"/>
      <c r="L8" s="5"/>
      <c r="M8" s="5"/>
    </row>
    <row r="9" ht="15.75" customHeight="1">
      <c r="A9" s="3" t="s">
        <v>16</v>
      </c>
      <c r="B9" s="3" t="s">
        <v>26</v>
      </c>
      <c r="C9" s="3" t="s">
        <v>26</v>
      </c>
      <c r="D9" s="3">
        <v>5.0</v>
      </c>
      <c r="E9" s="3" t="s">
        <v>27</v>
      </c>
      <c r="F9" s="3">
        <v>180.0</v>
      </c>
      <c r="G9" s="3">
        <v>220.0</v>
      </c>
      <c r="H9" s="4">
        <f t="shared" si="1"/>
        <v>1100</v>
      </c>
      <c r="I9" s="4">
        <f t="shared" si="2"/>
        <v>200</v>
      </c>
      <c r="J9" s="4">
        <f t="shared" si="3"/>
        <v>18.18181818</v>
      </c>
      <c r="K9" s="6"/>
      <c r="L9" s="6"/>
      <c r="M9" s="6"/>
    </row>
    <row r="10" ht="15.75" customHeight="1">
      <c r="A10" s="3" t="s">
        <v>16</v>
      </c>
      <c r="B10" s="3" t="s">
        <v>11</v>
      </c>
      <c r="C10" s="3" t="s">
        <v>12</v>
      </c>
      <c r="D10" s="3">
        <v>50.0</v>
      </c>
      <c r="E10" s="3" t="s">
        <v>13</v>
      </c>
      <c r="F10" s="3">
        <v>270.0</v>
      </c>
      <c r="G10" s="3">
        <v>340.0</v>
      </c>
      <c r="H10" s="4">
        <f t="shared" si="1"/>
        <v>17000</v>
      </c>
      <c r="I10" s="4">
        <f t="shared" si="2"/>
        <v>3500</v>
      </c>
      <c r="J10" s="4">
        <f t="shared" si="3"/>
        <v>20.58823529</v>
      </c>
      <c r="K10" s="7"/>
      <c r="L10" s="7"/>
      <c r="M10" s="7"/>
      <c r="N10" s="4"/>
    </row>
    <row r="11" ht="15.75" customHeight="1">
      <c r="A11" s="3" t="s">
        <v>16</v>
      </c>
      <c r="B11" s="3" t="s">
        <v>14</v>
      </c>
      <c r="C11" s="3" t="s">
        <v>12</v>
      </c>
      <c r="D11" s="3">
        <v>10.0</v>
      </c>
      <c r="E11" s="3" t="s">
        <v>13</v>
      </c>
      <c r="F11" s="3">
        <v>290.0</v>
      </c>
      <c r="G11" s="3">
        <v>350.0</v>
      </c>
      <c r="H11" s="4">
        <f t="shared" si="1"/>
        <v>3500</v>
      </c>
      <c r="I11" s="4">
        <f t="shared" si="2"/>
        <v>600</v>
      </c>
      <c r="J11" s="4">
        <f t="shared" si="3"/>
        <v>17.14285714</v>
      </c>
      <c r="K11" s="7"/>
      <c r="L11" s="7"/>
      <c r="M11" s="7"/>
      <c r="N11" s="4"/>
    </row>
    <row r="12" ht="15.75" customHeight="1">
      <c r="A12" s="3" t="s">
        <v>28</v>
      </c>
      <c r="B12" s="3" t="s">
        <v>29</v>
      </c>
      <c r="C12" s="3" t="s">
        <v>29</v>
      </c>
      <c r="D12" s="3">
        <v>2.0</v>
      </c>
      <c r="E12" s="3" t="s">
        <v>27</v>
      </c>
      <c r="F12" s="3">
        <v>240.0</v>
      </c>
      <c r="G12" s="3">
        <v>280.0</v>
      </c>
      <c r="H12" s="4">
        <f t="shared" si="1"/>
        <v>560</v>
      </c>
      <c r="I12" s="4">
        <f t="shared" si="2"/>
        <v>80</v>
      </c>
      <c r="J12" s="4">
        <f t="shared" si="3"/>
        <v>14.28571429</v>
      </c>
      <c r="K12" s="7"/>
      <c r="L12" s="7"/>
      <c r="M12" s="7"/>
      <c r="N12" s="4"/>
    </row>
    <row r="13" ht="15.75" customHeight="1">
      <c r="A13" s="3" t="s">
        <v>28</v>
      </c>
      <c r="B13" s="3" t="s">
        <v>30</v>
      </c>
      <c r="C13" s="3" t="s">
        <v>18</v>
      </c>
      <c r="D13" s="3">
        <v>160.0</v>
      </c>
      <c r="E13" s="3" t="s">
        <v>19</v>
      </c>
      <c r="F13" s="3">
        <v>8.0</v>
      </c>
      <c r="G13" s="3">
        <v>12.0</v>
      </c>
      <c r="H13" s="4">
        <f t="shared" si="1"/>
        <v>1920</v>
      </c>
      <c r="I13" s="4">
        <f t="shared" si="2"/>
        <v>640</v>
      </c>
      <c r="J13" s="4">
        <f t="shared" si="3"/>
        <v>33.33333333</v>
      </c>
      <c r="K13" s="7"/>
      <c r="L13" s="7"/>
      <c r="M13" s="7"/>
      <c r="N13" s="4"/>
    </row>
    <row r="14" ht="15.75" customHeight="1">
      <c r="A14" s="3" t="s">
        <v>28</v>
      </c>
      <c r="B14" s="3" t="s">
        <v>17</v>
      </c>
      <c r="C14" s="3" t="s">
        <v>18</v>
      </c>
      <c r="D14" s="3">
        <v>100.0</v>
      </c>
      <c r="E14" s="3" t="s">
        <v>19</v>
      </c>
      <c r="F14" s="3">
        <v>8.0</v>
      </c>
      <c r="G14" s="3">
        <v>12.0</v>
      </c>
      <c r="H14" s="4">
        <f t="shared" si="1"/>
        <v>1200</v>
      </c>
      <c r="I14" s="4">
        <f t="shared" si="2"/>
        <v>400</v>
      </c>
      <c r="J14" s="4">
        <f t="shared" si="3"/>
        <v>33.33333333</v>
      </c>
      <c r="K14" s="7"/>
      <c r="L14" s="7"/>
      <c r="M14" s="7"/>
      <c r="N14" s="4"/>
    </row>
    <row r="15" ht="15.75" customHeight="1">
      <c r="A15" s="3" t="s">
        <v>28</v>
      </c>
      <c r="B15" s="3" t="s">
        <v>15</v>
      </c>
      <c r="C15" s="3" t="s">
        <v>12</v>
      </c>
      <c r="D15" s="3">
        <v>10.0</v>
      </c>
      <c r="E15" s="3" t="s">
        <v>13</v>
      </c>
      <c r="F15" s="3">
        <v>270.0</v>
      </c>
      <c r="G15" s="3">
        <v>320.0</v>
      </c>
      <c r="H15" s="4">
        <f t="shared" si="1"/>
        <v>3200</v>
      </c>
      <c r="I15" s="4">
        <f t="shared" si="2"/>
        <v>500</v>
      </c>
      <c r="J15" s="4">
        <f t="shared" si="3"/>
        <v>15.625</v>
      </c>
      <c r="K15" s="7"/>
      <c r="L15" s="7"/>
      <c r="M15" s="7"/>
      <c r="N15" s="4"/>
    </row>
    <row r="16" ht="15.75" customHeight="1">
      <c r="A16" s="3" t="s">
        <v>28</v>
      </c>
      <c r="B16" s="3" t="s">
        <v>30</v>
      </c>
      <c r="C16" s="3" t="s">
        <v>18</v>
      </c>
      <c r="D16" s="3">
        <v>160.0</v>
      </c>
      <c r="E16" s="3" t="s">
        <v>19</v>
      </c>
      <c r="F16" s="3">
        <v>8.0</v>
      </c>
      <c r="G16" s="3">
        <v>12.0</v>
      </c>
      <c r="H16" s="4">
        <f t="shared" si="1"/>
        <v>1920</v>
      </c>
      <c r="I16" s="4">
        <f t="shared" si="2"/>
        <v>640</v>
      </c>
      <c r="J16" s="4">
        <f t="shared" si="3"/>
        <v>33.33333333</v>
      </c>
      <c r="K16" s="7"/>
      <c r="L16" s="7"/>
      <c r="M16" s="7"/>
      <c r="N16" s="4"/>
    </row>
    <row r="17" ht="15.75" customHeight="1">
      <c r="A17" s="3" t="s">
        <v>28</v>
      </c>
      <c r="B17" s="3" t="s">
        <v>17</v>
      </c>
      <c r="C17" s="3" t="s">
        <v>18</v>
      </c>
      <c r="D17" s="3">
        <v>100.0</v>
      </c>
      <c r="E17" s="3" t="s">
        <v>19</v>
      </c>
      <c r="F17" s="3">
        <v>8.0</v>
      </c>
      <c r="G17" s="3">
        <v>12.0</v>
      </c>
      <c r="H17" s="4">
        <f t="shared" si="1"/>
        <v>1200</v>
      </c>
      <c r="I17" s="4">
        <f t="shared" si="2"/>
        <v>400</v>
      </c>
      <c r="J17" s="4">
        <f t="shared" si="3"/>
        <v>33.33333333</v>
      </c>
      <c r="K17" s="8"/>
      <c r="L17" s="9"/>
      <c r="M17" s="9"/>
      <c r="N17" s="4"/>
    </row>
    <row r="18" ht="15.75" customHeight="1">
      <c r="A18" s="3" t="s">
        <v>28</v>
      </c>
      <c r="B18" s="3" t="s">
        <v>15</v>
      </c>
      <c r="C18" s="3" t="s">
        <v>12</v>
      </c>
      <c r="D18" s="3">
        <v>10.0</v>
      </c>
      <c r="E18" s="3" t="s">
        <v>13</v>
      </c>
      <c r="F18" s="3">
        <v>270.0</v>
      </c>
      <c r="G18" s="3">
        <v>320.0</v>
      </c>
      <c r="H18" s="4">
        <f t="shared" si="1"/>
        <v>3200</v>
      </c>
      <c r="I18" s="4">
        <f t="shared" si="2"/>
        <v>500</v>
      </c>
      <c r="J18" s="4">
        <f t="shared" si="3"/>
        <v>15.625</v>
      </c>
    </row>
    <row r="19" ht="15.75" customHeight="1">
      <c r="A19" s="3" t="s">
        <v>31</v>
      </c>
      <c r="B19" s="3" t="s">
        <v>26</v>
      </c>
      <c r="C19" s="3" t="s">
        <v>26</v>
      </c>
      <c r="D19" s="3">
        <v>10.0</v>
      </c>
      <c r="E19" s="3" t="s">
        <v>27</v>
      </c>
      <c r="F19" s="3">
        <v>180.0</v>
      </c>
      <c r="G19" s="3">
        <v>220.0</v>
      </c>
      <c r="H19" s="4">
        <f t="shared" si="1"/>
        <v>2200</v>
      </c>
      <c r="I19" s="4">
        <f t="shared" si="2"/>
        <v>400</v>
      </c>
      <c r="J19" s="4">
        <f t="shared" si="3"/>
        <v>18.18181818</v>
      </c>
    </row>
    <row r="20" ht="15.75" customHeight="1">
      <c r="A20" s="3" t="s">
        <v>31</v>
      </c>
      <c r="B20" s="3" t="s">
        <v>32</v>
      </c>
      <c r="C20" s="3" t="s">
        <v>25</v>
      </c>
      <c r="D20" s="3">
        <v>102.0</v>
      </c>
      <c r="E20" s="3" t="s">
        <v>23</v>
      </c>
      <c r="F20" s="3">
        <v>52.0</v>
      </c>
      <c r="G20" s="3">
        <v>55.0</v>
      </c>
      <c r="H20" s="4">
        <f t="shared" si="1"/>
        <v>5610</v>
      </c>
      <c r="I20" s="4">
        <f t="shared" si="2"/>
        <v>306</v>
      </c>
      <c r="J20" s="4">
        <f t="shared" si="3"/>
        <v>5.454545455</v>
      </c>
    </row>
    <row r="21" ht="15.75" customHeight="1">
      <c r="A21" s="3" t="s">
        <v>31</v>
      </c>
      <c r="B21" s="3" t="s">
        <v>14</v>
      </c>
      <c r="C21" s="3" t="s">
        <v>12</v>
      </c>
      <c r="D21" s="3">
        <v>30.0</v>
      </c>
      <c r="E21" s="3" t="s">
        <v>13</v>
      </c>
      <c r="F21" s="3">
        <v>290.0</v>
      </c>
      <c r="G21" s="3">
        <v>350.0</v>
      </c>
      <c r="H21" s="4">
        <f t="shared" si="1"/>
        <v>10500</v>
      </c>
      <c r="I21" s="4">
        <f t="shared" si="2"/>
        <v>1800</v>
      </c>
      <c r="J21" s="4">
        <f t="shared" si="3"/>
        <v>17.14285714</v>
      </c>
    </row>
    <row r="22" ht="15.75" customHeight="1">
      <c r="A22" s="3" t="s">
        <v>31</v>
      </c>
      <c r="B22" s="3" t="s">
        <v>15</v>
      </c>
      <c r="C22" s="3" t="s">
        <v>12</v>
      </c>
      <c r="D22" s="3">
        <v>5.0</v>
      </c>
      <c r="E22" s="3" t="s">
        <v>13</v>
      </c>
      <c r="F22" s="3">
        <v>270.0</v>
      </c>
      <c r="G22" s="3">
        <v>320.0</v>
      </c>
      <c r="H22" s="4">
        <f t="shared" si="1"/>
        <v>1600</v>
      </c>
      <c r="I22" s="4">
        <f t="shared" si="2"/>
        <v>250</v>
      </c>
      <c r="J22" s="4">
        <f t="shared" si="3"/>
        <v>15.625</v>
      </c>
    </row>
    <row r="23" ht="15.75" customHeight="1">
      <c r="A23" s="3" t="s">
        <v>31</v>
      </c>
      <c r="B23" s="3" t="s">
        <v>29</v>
      </c>
      <c r="C23" s="3" t="s">
        <v>29</v>
      </c>
      <c r="D23" s="3">
        <v>5.0</v>
      </c>
      <c r="E23" s="3" t="s">
        <v>27</v>
      </c>
      <c r="F23" s="3">
        <v>240.0</v>
      </c>
      <c r="G23" s="3">
        <v>280.0</v>
      </c>
      <c r="H23" s="4">
        <f t="shared" si="1"/>
        <v>1400</v>
      </c>
      <c r="I23" s="4">
        <f t="shared" si="2"/>
        <v>200</v>
      </c>
      <c r="J23" s="4">
        <f t="shared" si="3"/>
        <v>14.28571429</v>
      </c>
    </row>
    <row r="24" ht="15.75" customHeight="1">
      <c r="A24" s="3" t="s">
        <v>31</v>
      </c>
      <c r="B24" s="3" t="s">
        <v>11</v>
      </c>
      <c r="C24" s="3" t="s">
        <v>12</v>
      </c>
      <c r="D24" s="3">
        <v>15.0</v>
      </c>
      <c r="E24" s="3" t="s">
        <v>13</v>
      </c>
      <c r="F24" s="3">
        <v>270.0</v>
      </c>
      <c r="G24" s="3">
        <v>340.0</v>
      </c>
      <c r="H24" s="4">
        <f t="shared" si="1"/>
        <v>5100</v>
      </c>
      <c r="I24" s="4">
        <f t="shared" si="2"/>
        <v>1050</v>
      </c>
      <c r="J24" s="4">
        <f t="shared" si="3"/>
        <v>20.58823529</v>
      </c>
    </row>
    <row r="25" ht="15.75" customHeight="1">
      <c r="A25" s="3" t="s">
        <v>33</v>
      </c>
      <c r="B25" s="3" t="s">
        <v>15</v>
      </c>
      <c r="C25" s="3" t="s">
        <v>12</v>
      </c>
      <c r="D25" s="3">
        <v>1.0</v>
      </c>
      <c r="E25" s="3" t="s">
        <v>13</v>
      </c>
      <c r="F25" s="3">
        <v>270.0</v>
      </c>
      <c r="G25" s="3">
        <v>320.0</v>
      </c>
      <c r="H25" s="4">
        <f t="shared" si="1"/>
        <v>320</v>
      </c>
      <c r="I25" s="4">
        <f t="shared" si="2"/>
        <v>50</v>
      </c>
      <c r="J25" s="4">
        <f t="shared" si="3"/>
        <v>15.625</v>
      </c>
    </row>
    <row r="26" ht="15.75" customHeight="1">
      <c r="A26" s="3" t="s">
        <v>33</v>
      </c>
      <c r="B26" s="3" t="s">
        <v>29</v>
      </c>
      <c r="C26" s="3" t="s">
        <v>29</v>
      </c>
      <c r="D26" s="3">
        <v>5.0</v>
      </c>
      <c r="E26" s="3" t="s">
        <v>27</v>
      </c>
      <c r="F26" s="3">
        <v>240.0</v>
      </c>
      <c r="G26" s="3">
        <v>280.0</v>
      </c>
      <c r="H26" s="4">
        <f t="shared" si="1"/>
        <v>1400</v>
      </c>
      <c r="I26" s="4">
        <f t="shared" si="2"/>
        <v>200</v>
      </c>
      <c r="J26" s="4">
        <f t="shared" si="3"/>
        <v>14.28571429</v>
      </c>
    </row>
    <row r="27" ht="15.75" customHeight="1">
      <c r="A27" s="3" t="s">
        <v>33</v>
      </c>
      <c r="B27" s="3" t="s">
        <v>32</v>
      </c>
      <c r="C27" s="3" t="s">
        <v>25</v>
      </c>
      <c r="D27" s="3">
        <v>51.0</v>
      </c>
      <c r="E27" s="3" t="s">
        <v>23</v>
      </c>
      <c r="F27" s="3">
        <v>52.0</v>
      </c>
      <c r="G27" s="3">
        <v>55.0</v>
      </c>
      <c r="H27" s="4">
        <f t="shared" si="1"/>
        <v>2805</v>
      </c>
      <c r="I27" s="4">
        <f t="shared" si="2"/>
        <v>153</v>
      </c>
      <c r="J27" s="4">
        <f t="shared" si="3"/>
        <v>5.454545455</v>
      </c>
    </row>
    <row r="28" ht="15.75" customHeight="1">
      <c r="A28" s="3" t="s">
        <v>33</v>
      </c>
      <c r="B28" s="3" t="s">
        <v>17</v>
      </c>
      <c r="C28" s="3" t="s">
        <v>18</v>
      </c>
      <c r="D28" s="3">
        <v>50.0</v>
      </c>
      <c r="E28" s="3" t="s">
        <v>19</v>
      </c>
      <c r="F28" s="3">
        <v>8.0</v>
      </c>
      <c r="G28" s="3">
        <v>12.0</v>
      </c>
      <c r="H28" s="4">
        <f t="shared" si="1"/>
        <v>600</v>
      </c>
      <c r="I28" s="4">
        <f t="shared" si="2"/>
        <v>200</v>
      </c>
      <c r="J28" s="4">
        <f t="shared" si="3"/>
        <v>33.33333333</v>
      </c>
    </row>
    <row r="29" ht="15.75" customHeight="1">
      <c r="A29" s="3" t="s">
        <v>33</v>
      </c>
      <c r="B29" s="3" t="s">
        <v>24</v>
      </c>
      <c r="C29" s="3" t="s">
        <v>25</v>
      </c>
      <c r="D29" s="3">
        <v>142.0</v>
      </c>
      <c r="E29" s="3" t="s">
        <v>23</v>
      </c>
      <c r="F29" s="3">
        <v>51.0</v>
      </c>
      <c r="G29" s="3">
        <v>55.0</v>
      </c>
      <c r="H29" s="4">
        <f t="shared" si="1"/>
        <v>7810</v>
      </c>
      <c r="I29" s="4">
        <f t="shared" si="2"/>
        <v>568</v>
      </c>
      <c r="J29" s="4">
        <f t="shared" si="3"/>
        <v>7.272727273</v>
      </c>
    </row>
    <row r="30" ht="15.75" customHeight="1">
      <c r="A30" s="3" t="s">
        <v>34</v>
      </c>
      <c r="B30" s="3" t="s">
        <v>11</v>
      </c>
      <c r="C30" s="3" t="s">
        <v>12</v>
      </c>
      <c r="D30" s="3">
        <v>10.0</v>
      </c>
      <c r="E30" s="3" t="s">
        <v>13</v>
      </c>
      <c r="F30" s="3">
        <v>270.0</v>
      </c>
      <c r="G30" s="3">
        <v>340.0</v>
      </c>
      <c r="H30" s="4">
        <f t="shared" si="1"/>
        <v>3400</v>
      </c>
      <c r="I30" s="4">
        <f t="shared" si="2"/>
        <v>700</v>
      </c>
      <c r="J30" s="4">
        <f t="shared" si="3"/>
        <v>20.58823529</v>
      </c>
    </row>
    <row r="31" ht="15.75" customHeight="1">
      <c r="A31" s="3" t="s">
        <v>34</v>
      </c>
      <c r="B31" s="3" t="s">
        <v>17</v>
      </c>
      <c r="C31" s="3" t="s">
        <v>18</v>
      </c>
      <c r="D31" s="3">
        <v>50.0</v>
      </c>
      <c r="E31" s="3" t="s">
        <v>19</v>
      </c>
      <c r="F31" s="3">
        <v>8.0</v>
      </c>
      <c r="G31" s="3">
        <v>12.0</v>
      </c>
      <c r="H31" s="4">
        <f t="shared" si="1"/>
        <v>600</v>
      </c>
      <c r="I31" s="4">
        <f t="shared" si="2"/>
        <v>200</v>
      </c>
      <c r="J31" s="4">
        <f t="shared" si="3"/>
        <v>33.33333333</v>
      </c>
    </row>
    <row r="32" ht="15.75" customHeight="1">
      <c r="A32" s="3" t="s">
        <v>34</v>
      </c>
      <c r="B32" s="3" t="s">
        <v>26</v>
      </c>
      <c r="C32" s="3" t="s">
        <v>26</v>
      </c>
      <c r="D32" s="3">
        <v>2.0</v>
      </c>
      <c r="E32" s="3" t="s">
        <v>27</v>
      </c>
      <c r="F32" s="3">
        <v>180.0</v>
      </c>
      <c r="G32" s="3">
        <v>220.0</v>
      </c>
      <c r="H32" s="4">
        <f t="shared" si="1"/>
        <v>440</v>
      </c>
      <c r="I32" s="4">
        <f t="shared" si="2"/>
        <v>80</v>
      </c>
      <c r="J32" s="4">
        <f t="shared" si="3"/>
        <v>18.18181818</v>
      </c>
    </row>
    <row r="33" ht="15.75" customHeight="1">
      <c r="A33" s="3" t="s">
        <v>35</v>
      </c>
      <c r="B33" s="3" t="s">
        <v>17</v>
      </c>
      <c r="C33" s="3" t="s">
        <v>18</v>
      </c>
      <c r="D33" s="3">
        <v>150.0</v>
      </c>
      <c r="E33" s="3" t="s">
        <v>19</v>
      </c>
      <c r="F33" s="3">
        <v>8.0</v>
      </c>
      <c r="G33" s="3">
        <v>12.0</v>
      </c>
      <c r="H33" s="4">
        <f t="shared" si="1"/>
        <v>1800</v>
      </c>
      <c r="I33" s="4">
        <f t="shared" si="2"/>
        <v>600</v>
      </c>
      <c r="J33" s="4">
        <f t="shared" si="3"/>
        <v>33.33333333</v>
      </c>
    </row>
    <row r="34" ht="15.75" customHeight="1">
      <c r="A34" s="3" t="s">
        <v>35</v>
      </c>
      <c r="B34" s="3" t="s">
        <v>20</v>
      </c>
      <c r="C34" s="3" t="s">
        <v>18</v>
      </c>
      <c r="D34" s="3">
        <v>125.0</v>
      </c>
      <c r="E34" s="3" t="s">
        <v>19</v>
      </c>
      <c r="F34" s="3">
        <v>9.0</v>
      </c>
      <c r="G34" s="3">
        <v>10.0</v>
      </c>
      <c r="H34" s="4">
        <f t="shared" si="1"/>
        <v>1250</v>
      </c>
      <c r="I34" s="4">
        <f t="shared" si="2"/>
        <v>125</v>
      </c>
      <c r="J34" s="4">
        <f t="shared" si="3"/>
        <v>10</v>
      </c>
    </row>
    <row r="35" ht="15.75" customHeight="1">
      <c r="A35" s="3" t="s">
        <v>35</v>
      </c>
      <c r="B35" s="3" t="s">
        <v>30</v>
      </c>
      <c r="C35" s="3" t="s">
        <v>18</v>
      </c>
      <c r="D35" s="3">
        <v>60.0</v>
      </c>
      <c r="E35" s="3" t="s">
        <v>19</v>
      </c>
      <c r="F35" s="3">
        <v>8.0</v>
      </c>
      <c r="G35" s="3">
        <v>12.0</v>
      </c>
      <c r="H35" s="4">
        <f t="shared" si="1"/>
        <v>720</v>
      </c>
      <c r="I35" s="4">
        <f t="shared" si="2"/>
        <v>240</v>
      </c>
      <c r="J35" s="4">
        <f t="shared" si="3"/>
        <v>33.33333333</v>
      </c>
    </row>
    <row r="36" ht="15.75" customHeight="1">
      <c r="A36" s="10">
        <v>45846.0</v>
      </c>
      <c r="B36" s="3" t="s">
        <v>21</v>
      </c>
      <c r="C36" s="3" t="s">
        <v>22</v>
      </c>
      <c r="D36" s="3">
        <v>10.0</v>
      </c>
      <c r="E36" s="3" t="s">
        <v>23</v>
      </c>
      <c r="F36" s="3">
        <v>70.0</v>
      </c>
      <c r="G36" s="3">
        <v>76.0</v>
      </c>
      <c r="H36" s="4">
        <f t="shared" si="1"/>
        <v>760</v>
      </c>
      <c r="I36" s="4">
        <f t="shared" si="2"/>
        <v>60</v>
      </c>
      <c r="J36" s="4">
        <f t="shared" si="3"/>
        <v>7.894736842</v>
      </c>
    </row>
    <row r="37" ht="15.75" customHeight="1">
      <c r="A37" s="3" t="s">
        <v>35</v>
      </c>
      <c r="B37" s="3" t="s">
        <v>11</v>
      </c>
      <c r="C37" s="3" t="s">
        <v>12</v>
      </c>
      <c r="D37" s="3">
        <v>20.0</v>
      </c>
      <c r="E37" s="3" t="s">
        <v>13</v>
      </c>
      <c r="F37" s="3">
        <v>270.0</v>
      </c>
      <c r="G37" s="3">
        <v>340.0</v>
      </c>
      <c r="H37" s="4">
        <f t="shared" si="1"/>
        <v>6800</v>
      </c>
      <c r="I37" s="4">
        <f t="shared" si="2"/>
        <v>1400</v>
      </c>
      <c r="J37" s="4">
        <f t="shared" si="3"/>
        <v>20.58823529</v>
      </c>
    </row>
    <row r="38" ht="15.75" customHeight="1">
      <c r="A38" s="3" t="s">
        <v>36</v>
      </c>
      <c r="B38" s="3" t="s">
        <v>29</v>
      </c>
      <c r="C38" s="3" t="s">
        <v>29</v>
      </c>
      <c r="D38" s="3">
        <v>4.0</v>
      </c>
      <c r="E38" s="3" t="s">
        <v>27</v>
      </c>
      <c r="F38" s="3">
        <v>240.0</v>
      </c>
      <c r="G38" s="3">
        <v>280.0</v>
      </c>
      <c r="H38" s="4">
        <f t="shared" si="1"/>
        <v>1120</v>
      </c>
      <c r="I38" s="4">
        <f t="shared" si="2"/>
        <v>160</v>
      </c>
      <c r="J38" s="4">
        <f t="shared" si="3"/>
        <v>14.28571429</v>
      </c>
    </row>
    <row r="39" ht="15.75" customHeight="1">
      <c r="A39" s="3" t="s">
        <v>36</v>
      </c>
      <c r="B39" s="3" t="s">
        <v>20</v>
      </c>
      <c r="C39" s="3" t="s">
        <v>18</v>
      </c>
      <c r="D39" s="3">
        <v>25.0</v>
      </c>
      <c r="E39" s="3" t="s">
        <v>19</v>
      </c>
      <c r="F39" s="3">
        <v>9.0</v>
      </c>
      <c r="G39" s="3">
        <v>10.0</v>
      </c>
      <c r="H39" s="4">
        <f t="shared" si="1"/>
        <v>250</v>
      </c>
      <c r="I39" s="4">
        <f t="shared" si="2"/>
        <v>25</v>
      </c>
      <c r="J39" s="4">
        <f t="shared" si="3"/>
        <v>10</v>
      </c>
    </row>
    <row r="40" ht="15.75" customHeight="1">
      <c r="A40" s="3" t="s">
        <v>36</v>
      </c>
      <c r="B40" s="3" t="s">
        <v>15</v>
      </c>
      <c r="C40" s="3" t="s">
        <v>12</v>
      </c>
      <c r="D40" s="3">
        <v>5.0</v>
      </c>
      <c r="E40" s="3" t="s">
        <v>13</v>
      </c>
      <c r="F40" s="3">
        <v>270.0</v>
      </c>
      <c r="G40" s="3">
        <v>320.0</v>
      </c>
      <c r="H40" s="4">
        <f t="shared" si="1"/>
        <v>1600</v>
      </c>
      <c r="I40" s="4">
        <f t="shared" si="2"/>
        <v>250</v>
      </c>
      <c r="J40" s="4">
        <f t="shared" si="3"/>
        <v>15.625</v>
      </c>
    </row>
    <row r="41" ht="15.75" customHeight="1">
      <c r="A41" s="3" t="s">
        <v>36</v>
      </c>
      <c r="B41" s="3" t="s">
        <v>26</v>
      </c>
      <c r="C41" s="3" t="s">
        <v>26</v>
      </c>
      <c r="D41" s="3">
        <v>2.0</v>
      </c>
      <c r="E41" s="3" t="s">
        <v>27</v>
      </c>
      <c r="F41" s="3">
        <v>180.0</v>
      </c>
      <c r="G41" s="3">
        <v>220.0</v>
      </c>
      <c r="H41" s="4">
        <f t="shared" si="1"/>
        <v>440</v>
      </c>
      <c r="I41" s="4">
        <f t="shared" si="2"/>
        <v>80</v>
      </c>
      <c r="J41" s="4">
        <f t="shared" si="3"/>
        <v>18.18181818</v>
      </c>
    </row>
    <row r="42" ht="15.75" customHeight="1">
      <c r="A42" s="3" t="s">
        <v>37</v>
      </c>
      <c r="B42" s="3" t="s">
        <v>24</v>
      </c>
      <c r="C42" s="3" t="s">
        <v>25</v>
      </c>
      <c r="D42" s="3">
        <v>142.0</v>
      </c>
      <c r="E42" s="3" t="s">
        <v>23</v>
      </c>
      <c r="F42" s="3">
        <v>51.0</v>
      </c>
      <c r="G42" s="3">
        <v>55.0</v>
      </c>
      <c r="H42" s="4">
        <f t="shared" si="1"/>
        <v>7810</v>
      </c>
      <c r="I42" s="4">
        <f t="shared" si="2"/>
        <v>568</v>
      </c>
      <c r="J42" s="4">
        <f t="shared" si="3"/>
        <v>7.272727273</v>
      </c>
    </row>
    <row r="43" ht="15.75" customHeight="1">
      <c r="A43" s="3" t="s">
        <v>37</v>
      </c>
      <c r="B43" s="3" t="s">
        <v>11</v>
      </c>
      <c r="C43" s="3" t="s">
        <v>12</v>
      </c>
      <c r="D43" s="3">
        <v>2.0</v>
      </c>
      <c r="E43" s="3" t="s">
        <v>13</v>
      </c>
      <c r="F43" s="3">
        <v>270.0</v>
      </c>
      <c r="G43" s="3">
        <v>340.0</v>
      </c>
      <c r="H43" s="4">
        <f t="shared" si="1"/>
        <v>680</v>
      </c>
      <c r="I43" s="4">
        <f t="shared" si="2"/>
        <v>140</v>
      </c>
      <c r="J43" s="4">
        <f t="shared" si="3"/>
        <v>20.58823529</v>
      </c>
    </row>
    <row r="44" ht="15.75" customHeight="1">
      <c r="A44" s="3" t="s">
        <v>37</v>
      </c>
      <c r="B44" s="3" t="s">
        <v>29</v>
      </c>
      <c r="C44" s="3" t="s">
        <v>29</v>
      </c>
      <c r="D44" s="3">
        <v>20.0</v>
      </c>
      <c r="E44" s="3" t="s">
        <v>27</v>
      </c>
      <c r="F44" s="3">
        <v>240.0</v>
      </c>
      <c r="G44" s="3">
        <v>280.0</v>
      </c>
      <c r="H44" s="4">
        <f t="shared" si="1"/>
        <v>5600</v>
      </c>
      <c r="I44" s="4">
        <f t="shared" si="2"/>
        <v>800</v>
      </c>
      <c r="J44" s="4">
        <f t="shared" si="3"/>
        <v>14.28571429</v>
      </c>
    </row>
    <row r="45" ht="15.75" customHeight="1">
      <c r="A45" s="3" t="s">
        <v>37</v>
      </c>
      <c r="B45" s="3" t="s">
        <v>32</v>
      </c>
      <c r="C45" s="3" t="s">
        <v>25</v>
      </c>
      <c r="D45" s="3">
        <v>51.0</v>
      </c>
      <c r="E45" s="3" t="s">
        <v>23</v>
      </c>
      <c r="F45" s="3">
        <v>52.0</v>
      </c>
      <c r="G45" s="3">
        <v>55.0</v>
      </c>
      <c r="H45" s="4">
        <f t="shared" si="1"/>
        <v>2805</v>
      </c>
      <c r="I45" s="4">
        <f t="shared" si="2"/>
        <v>153</v>
      </c>
      <c r="J45" s="4">
        <f t="shared" si="3"/>
        <v>5.454545455</v>
      </c>
    </row>
    <row r="46" ht="15.75" customHeight="1">
      <c r="A46" s="3" t="s">
        <v>38</v>
      </c>
      <c r="B46" s="3" t="s">
        <v>30</v>
      </c>
      <c r="C46" s="3" t="s">
        <v>18</v>
      </c>
      <c r="D46" s="3">
        <v>100.0</v>
      </c>
      <c r="E46" s="3" t="s">
        <v>19</v>
      </c>
      <c r="F46" s="3">
        <v>8.0</v>
      </c>
      <c r="G46" s="3">
        <v>12.0</v>
      </c>
      <c r="H46" s="4">
        <f t="shared" si="1"/>
        <v>1200</v>
      </c>
      <c r="I46" s="4">
        <f t="shared" si="2"/>
        <v>400</v>
      </c>
      <c r="J46" s="4">
        <f t="shared" si="3"/>
        <v>33.33333333</v>
      </c>
    </row>
    <row r="47" ht="15.75" customHeight="1">
      <c r="A47" s="3" t="s">
        <v>38</v>
      </c>
      <c r="B47" s="3" t="s">
        <v>26</v>
      </c>
      <c r="C47" s="3" t="s">
        <v>26</v>
      </c>
      <c r="D47" s="3">
        <v>5.0</v>
      </c>
      <c r="E47" s="3" t="s">
        <v>27</v>
      </c>
      <c r="F47" s="3">
        <v>180.0</v>
      </c>
      <c r="G47" s="3">
        <v>220.0</v>
      </c>
      <c r="H47" s="4">
        <f t="shared" si="1"/>
        <v>1100</v>
      </c>
      <c r="I47" s="4">
        <f t="shared" si="2"/>
        <v>200</v>
      </c>
      <c r="J47" s="4">
        <f t="shared" si="3"/>
        <v>18.18181818</v>
      </c>
    </row>
    <row r="48" ht="15.75" customHeight="1">
      <c r="A48" s="3" t="s">
        <v>39</v>
      </c>
      <c r="B48" s="3" t="s">
        <v>26</v>
      </c>
      <c r="C48" s="3" t="s">
        <v>26</v>
      </c>
      <c r="D48" s="3">
        <v>2.0</v>
      </c>
      <c r="E48" s="3" t="s">
        <v>27</v>
      </c>
      <c r="F48" s="3">
        <v>180.0</v>
      </c>
      <c r="G48" s="3">
        <v>220.0</v>
      </c>
      <c r="H48" s="4">
        <f t="shared" si="1"/>
        <v>440</v>
      </c>
      <c r="I48" s="4">
        <f t="shared" si="2"/>
        <v>80</v>
      </c>
      <c r="J48" s="4">
        <f t="shared" si="3"/>
        <v>18.18181818</v>
      </c>
    </row>
    <row r="49" ht="15.75" customHeight="1">
      <c r="A49" s="3" t="s">
        <v>39</v>
      </c>
      <c r="B49" s="3" t="s">
        <v>40</v>
      </c>
      <c r="C49" s="3" t="s">
        <v>12</v>
      </c>
      <c r="D49" s="3">
        <v>4.0</v>
      </c>
      <c r="E49" s="3" t="s">
        <v>13</v>
      </c>
      <c r="F49" s="3">
        <v>360.0</v>
      </c>
      <c r="G49" s="3">
        <v>410.0</v>
      </c>
      <c r="H49" s="4">
        <f t="shared" si="1"/>
        <v>1640</v>
      </c>
      <c r="I49" s="4">
        <f t="shared" si="2"/>
        <v>200</v>
      </c>
      <c r="J49" s="4">
        <f t="shared" si="3"/>
        <v>12.19512195</v>
      </c>
    </row>
    <row r="50" ht="15.75" customHeight="1">
      <c r="A50" s="3" t="s">
        <v>39</v>
      </c>
      <c r="B50" s="3" t="s">
        <v>30</v>
      </c>
      <c r="C50" s="3" t="s">
        <v>18</v>
      </c>
      <c r="D50" s="3">
        <v>25.0</v>
      </c>
      <c r="E50" s="3" t="s">
        <v>19</v>
      </c>
      <c r="F50" s="3">
        <v>8.0</v>
      </c>
      <c r="G50" s="3">
        <v>12.0</v>
      </c>
      <c r="H50" s="4">
        <f t="shared" si="1"/>
        <v>300</v>
      </c>
      <c r="I50" s="4">
        <f t="shared" si="2"/>
        <v>100</v>
      </c>
      <c r="J50" s="4">
        <f t="shared" si="3"/>
        <v>33.33333333</v>
      </c>
    </row>
    <row r="51" ht="15.75" customHeight="1">
      <c r="A51" s="3" t="s">
        <v>39</v>
      </c>
      <c r="B51" s="3" t="s">
        <v>15</v>
      </c>
      <c r="C51" s="3" t="s">
        <v>12</v>
      </c>
      <c r="D51" s="3">
        <v>15.0</v>
      </c>
      <c r="E51" s="3" t="s">
        <v>13</v>
      </c>
      <c r="F51" s="3">
        <v>270.0</v>
      </c>
      <c r="G51" s="3">
        <v>320.0</v>
      </c>
      <c r="H51" s="4">
        <f t="shared" si="1"/>
        <v>4800</v>
      </c>
      <c r="I51" s="4">
        <f t="shared" si="2"/>
        <v>750</v>
      </c>
      <c r="J51" s="4">
        <f t="shared" si="3"/>
        <v>15.625</v>
      </c>
    </row>
    <row r="52" ht="15.75" customHeight="1">
      <c r="A52" s="3" t="s">
        <v>41</v>
      </c>
      <c r="B52" s="3" t="s">
        <v>17</v>
      </c>
      <c r="C52" s="3" t="s">
        <v>18</v>
      </c>
      <c r="D52" s="3">
        <v>140.0</v>
      </c>
      <c r="E52" s="3" t="s">
        <v>19</v>
      </c>
      <c r="F52" s="3">
        <v>8.0</v>
      </c>
      <c r="G52" s="3">
        <v>12.0</v>
      </c>
      <c r="H52" s="4">
        <f t="shared" si="1"/>
        <v>1680</v>
      </c>
      <c r="I52" s="4">
        <f t="shared" si="2"/>
        <v>560</v>
      </c>
      <c r="J52" s="4">
        <f t="shared" si="3"/>
        <v>33.33333333</v>
      </c>
    </row>
    <row r="53" ht="15.75" customHeight="1">
      <c r="A53" s="3" t="s">
        <v>41</v>
      </c>
      <c r="B53" s="3" t="s">
        <v>30</v>
      </c>
      <c r="C53" s="3" t="s">
        <v>18</v>
      </c>
      <c r="D53" s="3">
        <v>80.0</v>
      </c>
      <c r="E53" s="3" t="s">
        <v>19</v>
      </c>
      <c r="F53" s="3">
        <v>8.0</v>
      </c>
      <c r="G53" s="3">
        <v>12.0</v>
      </c>
      <c r="H53" s="4">
        <f t="shared" si="1"/>
        <v>960</v>
      </c>
      <c r="I53" s="4">
        <f t="shared" si="2"/>
        <v>320</v>
      </c>
      <c r="J53" s="4">
        <f t="shared" si="3"/>
        <v>33.33333333</v>
      </c>
    </row>
    <row r="54" ht="15.75" customHeight="1">
      <c r="A54" s="3" t="s">
        <v>41</v>
      </c>
      <c r="B54" s="3" t="s">
        <v>42</v>
      </c>
      <c r="C54" s="3" t="s">
        <v>43</v>
      </c>
      <c r="D54" s="3">
        <v>2.0</v>
      </c>
      <c r="E54" s="3" t="s">
        <v>19</v>
      </c>
      <c r="F54" s="3">
        <v>360.0</v>
      </c>
      <c r="G54" s="3">
        <v>400.0</v>
      </c>
      <c r="H54" s="4">
        <f t="shared" si="1"/>
        <v>800</v>
      </c>
      <c r="I54" s="4">
        <f t="shared" si="2"/>
        <v>80</v>
      </c>
      <c r="J54" s="4">
        <f t="shared" si="3"/>
        <v>10</v>
      </c>
    </row>
    <row r="55" ht="15.75" customHeight="1">
      <c r="A55" s="3" t="s">
        <v>44</v>
      </c>
      <c r="B55" s="3" t="s">
        <v>30</v>
      </c>
      <c r="C55" s="3" t="s">
        <v>18</v>
      </c>
      <c r="D55" s="3">
        <v>250.0</v>
      </c>
      <c r="E55" s="3" t="s">
        <v>19</v>
      </c>
      <c r="F55" s="3">
        <v>8.0</v>
      </c>
      <c r="G55" s="3">
        <v>12.0</v>
      </c>
      <c r="H55" s="4">
        <f t="shared" si="1"/>
        <v>3000</v>
      </c>
      <c r="I55" s="4">
        <f t="shared" si="2"/>
        <v>1000</v>
      </c>
      <c r="J55" s="4">
        <f t="shared" si="3"/>
        <v>33.33333333</v>
      </c>
    </row>
    <row r="56" ht="15.75" customHeight="1">
      <c r="A56" s="3" t="s">
        <v>44</v>
      </c>
      <c r="B56" s="3" t="s">
        <v>15</v>
      </c>
      <c r="C56" s="3" t="s">
        <v>12</v>
      </c>
      <c r="D56" s="3">
        <v>20.0</v>
      </c>
      <c r="E56" s="3" t="s">
        <v>13</v>
      </c>
      <c r="F56" s="3">
        <v>270.0</v>
      </c>
      <c r="G56" s="3">
        <v>320.0</v>
      </c>
      <c r="H56" s="4">
        <f t="shared" si="1"/>
        <v>6400</v>
      </c>
      <c r="I56" s="4">
        <f t="shared" si="2"/>
        <v>1000</v>
      </c>
      <c r="J56" s="4">
        <f t="shared" si="3"/>
        <v>15.625</v>
      </c>
    </row>
    <row r="57" ht="15.75" customHeight="1">
      <c r="A57" s="3" t="s">
        <v>44</v>
      </c>
      <c r="B57" s="3" t="s">
        <v>26</v>
      </c>
      <c r="C57" s="3" t="s">
        <v>26</v>
      </c>
      <c r="D57" s="3">
        <v>8.0</v>
      </c>
      <c r="E57" s="3" t="s">
        <v>27</v>
      </c>
      <c r="F57" s="3">
        <v>180.0</v>
      </c>
      <c r="G57" s="3">
        <v>220.0</v>
      </c>
      <c r="H57" s="4">
        <f t="shared" si="1"/>
        <v>1760</v>
      </c>
      <c r="I57" s="4">
        <f t="shared" si="2"/>
        <v>320</v>
      </c>
      <c r="J57" s="4">
        <f t="shared" si="3"/>
        <v>18.18181818</v>
      </c>
    </row>
    <row r="58" ht="15.75" customHeight="1">
      <c r="A58" s="3" t="s">
        <v>44</v>
      </c>
      <c r="B58" s="3" t="s">
        <v>14</v>
      </c>
      <c r="C58" s="3" t="s">
        <v>12</v>
      </c>
      <c r="D58" s="3">
        <v>100.0</v>
      </c>
      <c r="E58" s="3" t="s">
        <v>13</v>
      </c>
      <c r="F58" s="3">
        <v>290.0</v>
      </c>
      <c r="G58" s="3">
        <v>350.0</v>
      </c>
      <c r="H58" s="4">
        <f t="shared" si="1"/>
        <v>35000</v>
      </c>
      <c r="I58" s="4">
        <f t="shared" si="2"/>
        <v>6000</v>
      </c>
      <c r="J58" s="4">
        <f t="shared" si="3"/>
        <v>17.14285714</v>
      </c>
    </row>
    <row r="59" ht="15.75" customHeight="1">
      <c r="A59" s="3" t="s">
        <v>45</v>
      </c>
      <c r="B59" s="3" t="s">
        <v>32</v>
      </c>
      <c r="C59" s="3" t="s">
        <v>25</v>
      </c>
      <c r="D59" s="3">
        <v>102.0</v>
      </c>
      <c r="E59" s="3" t="s">
        <v>23</v>
      </c>
      <c r="F59" s="3">
        <v>52.0</v>
      </c>
      <c r="G59" s="3">
        <v>55.0</v>
      </c>
      <c r="H59" s="4">
        <f t="shared" si="1"/>
        <v>5610</v>
      </c>
      <c r="I59" s="4">
        <f t="shared" si="2"/>
        <v>306</v>
      </c>
      <c r="J59" s="4">
        <f t="shared" si="3"/>
        <v>5.454545455</v>
      </c>
    </row>
    <row r="60" ht="15.75" customHeight="1">
      <c r="A60" s="3" t="s">
        <v>45</v>
      </c>
      <c r="B60" s="3" t="s">
        <v>15</v>
      </c>
      <c r="C60" s="3" t="s">
        <v>12</v>
      </c>
      <c r="D60" s="3">
        <v>3.0</v>
      </c>
      <c r="E60" s="3" t="s">
        <v>13</v>
      </c>
      <c r="F60" s="3">
        <v>270.0</v>
      </c>
      <c r="G60" s="3">
        <v>320.0</v>
      </c>
      <c r="H60" s="4">
        <f t="shared" si="1"/>
        <v>960</v>
      </c>
      <c r="I60" s="4">
        <f t="shared" si="2"/>
        <v>150</v>
      </c>
      <c r="J60" s="4">
        <f t="shared" si="3"/>
        <v>15.625</v>
      </c>
    </row>
    <row r="61" ht="15.75" customHeight="1">
      <c r="A61" s="3" t="s">
        <v>45</v>
      </c>
      <c r="B61" s="3" t="s">
        <v>24</v>
      </c>
      <c r="C61" s="3" t="s">
        <v>25</v>
      </c>
      <c r="D61" s="3">
        <v>71.0</v>
      </c>
      <c r="E61" s="3" t="s">
        <v>23</v>
      </c>
      <c r="F61" s="3">
        <v>51.0</v>
      </c>
      <c r="G61" s="3">
        <v>55.0</v>
      </c>
      <c r="H61" s="4">
        <f t="shared" si="1"/>
        <v>3905</v>
      </c>
      <c r="I61" s="4">
        <f t="shared" si="2"/>
        <v>284</v>
      </c>
      <c r="J61" s="4">
        <f t="shared" si="3"/>
        <v>7.272727273</v>
      </c>
    </row>
    <row r="62" ht="15.75" customHeight="1">
      <c r="A62" s="3" t="s">
        <v>46</v>
      </c>
      <c r="B62" s="3" t="s">
        <v>14</v>
      </c>
      <c r="C62" s="3" t="s">
        <v>12</v>
      </c>
      <c r="D62" s="3">
        <v>12.0</v>
      </c>
      <c r="E62" s="3" t="s">
        <v>13</v>
      </c>
      <c r="F62" s="3">
        <v>290.0</v>
      </c>
      <c r="G62" s="3">
        <v>350.0</v>
      </c>
      <c r="H62" s="4">
        <f t="shared" si="1"/>
        <v>4200</v>
      </c>
      <c r="I62" s="4">
        <f t="shared" si="2"/>
        <v>720</v>
      </c>
      <c r="J62" s="4">
        <f t="shared" si="3"/>
        <v>17.14285714</v>
      </c>
    </row>
    <row r="63" ht="15.75" customHeight="1">
      <c r="A63" s="3" t="s">
        <v>46</v>
      </c>
      <c r="B63" s="3" t="s">
        <v>32</v>
      </c>
      <c r="C63" s="3" t="s">
        <v>25</v>
      </c>
      <c r="D63" s="3">
        <v>51.0</v>
      </c>
      <c r="E63" s="3" t="s">
        <v>23</v>
      </c>
      <c r="F63" s="3">
        <v>52.0</v>
      </c>
      <c r="G63" s="3">
        <v>55.0</v>
      </c>
      <c r="H63" s="4">
        <f t="shared" si="1"/>
        <v>2805</v>
      </c>
      <c r="I63" s="4">
        <f t="shared" si="2"/>
        <v>153</v>
      </c>
      <c r="J63" s="4">
        <f t="shared" si="3"/>
        <v>5.454545455</v>
      </c>
    </row>
    <row r="64" ht="15.75" customHeight="1">
      <c r="A64" s="3" t="s">
        <v>46</v>
      </c>
      <c r="B64" s="3" t="s">
        <v>24</v>
      </c>
      <c r="C64" s="3" t="s">
        <v>25</v>
      </c>
      <c r="D64" s="3">
        <v>71.0</v>
      </c>
      <c r="E64" s="3" t="s">
        <v>23</v>
      </c>
      <c r="F64" s="3">
        <v>51.0</v>
      </c>
      <c r="G64" s="3">
        <v>56.0</v>
      </c>
      <c r="H64" s="4">
        <f t="shared" si="1"/>
        <v>3976</v>
      </c>
      <c r="I64" s="4">
        <f t="shared" si="2"/>
        <v>355</v>
      </c>
      <c r="J64" s="4">
        <f t="shared" si="3"/>
        <v>8.928571429</v>
      </c>
    </row>
    <row r="65" ht="15.75" customHeight="1">
      <c r="A65" s="3" t="s">
        <v>47</v>
      </c>
      <c r="B65" s="3" t="s">
        <v>20</v>
      </c>
      <c r="C65" s="3" t="s">
        <v>18</v>
      </c>
      <c r="D65" s="3">
        <v>30.0</v>
      </c>
      <c r="E65" s="3" t="s">
        <v>19</v>
      </c>
      <c r="F65" s="3">
        <v>9.0</v>
      </c>
      <c r="G65" s="3">
        <v>10.0</v>
      </c>
      <c r="H65" s="4">
        <f t="shared" si="1"/>
        <v>300</v>
      </c>
      <c r="I65" s="4">
        <f t="shared" si="2"/>
        <v>30</v>
      </c>
      <c r="J65" s="4">
        <f t="shared" si="3"/>
        <v>10</v>
      </c>
    </row>
    <row r="66" ht="15.75" customHeight="1">
      <c r="A66" s="3" t="s">
        <v>47</v>
      </c>
      <c r="B66" s="3" t="s">
        <v>30</v>
      </c>
      <c r="C66" s="3" t="s">
        <v>18</v>
      </c>
      <c r="D66" s="3">
        <v>200.0</v>
      </c>
      <c r="E66" s="3" t="s">
        <v>19</v>
      </c>
      <c r="F66" s="3">
        <v>8.0</v>
      </c>
      <c r="G66" s="3">
        <v>12.0</v>
      </c>
      <c r="H66" s="4">
        <f t="shared" si="1"/>
        <v>2400</v>
      </c>
      <c r="I66" s="4">
        <f t="shared" si="2"/>
        <v>800</v>
      </c>
      <c r="J66" s="4">
        <f t="shared" si="3"/>
        <v>33.33333333</v>
      </c>
    </row>
    <row r="67" ht="15.75" customHeight="1">
      <c r="A67" s="3" t="s">
        <v>47</v>
      </c>
      <c r="B67" s="3" t="s">
        <v>21</v>
      </c>
      <c r="C67" s="3" t="s">
        <v>22</v>
      </c>
      <c r="D67" s="3">
        <v>10.0</v>
      </c>
      <c r="E67" s="3" t="s">
        <v>23</v>
      </c>
      <c r="F67" s="3">
        <v>70.0</v>
      </c>
      <c r="G67" s="3">
        <v>76.0</v>
      </c>
      <c r="H67" s="4">
        <f t="shared" si="1"/>
        <v>760</v>
      </c>
      <c r="I67" s="4">
        <f t="shared" si="2"/>
        <v>60</v>
      </c>
      <c r="J67" s="4">
        <f t="shared" si="3"/>
        <v>7.894736842</v>
      </c>
    </row>
    <row r="68" ht="15.75" customHeight="1">
      <c r="A68" s="3" t="s">
        <v>47</v>
      </c>
      <c r="B68" s="3" t="s">
        <v>26</v>
      </c>
      <c r="C68" s="3" t="s">
        <v>26</v>
      </c>
      <c r="D68" s="3">
        <v>5.0</v>
      </c>
      <c r="E68" s="3" t="s">
        <v>27</v>
      </c>
      <c r="F68" s="3">
        <v>180.0</v>
      </c>
      <c r="G68" s="3">
        <v>220.0</v>
      </c>
      <c r="H68" s="4">
        <f t="shared" si="1"/>
        <v>1100</v>
      </c>
      <c r="I68" s="4">
        <f t="shared" si="2"/>
        <v>200</v>
      </c>
      <c r="J68" s="4">
        <f t="shared" si="3"/>
        <v>18.18181818</v>
      </c>
    </row>
    <row r="69" ht="15.75" customHeight="1">
      <c r="A69" s="3" t="s">
        <v>48</v>
      </c>
      <c r="B69" s="3" t="s">
        <v>15</v>
      </c>
      <c r="C69" s="3" t="s">
        <v>12</v>
      </c>
      <c r="D69" s="3">
        <v>1.0</v>
      </c>
      <c r="E69" s="3" t="s">
        <v>13</v>
      </c>
      <c r="F69" s="3">
        <v>270.0</v>
      </c>
      <c r="G69" s="3">
        <v>320.0</v>
      </c>
      <c r="H69" s="4">
        <f t="shared" si="1"/>
        <v>320</v>
      </c>
      <c r="I69" s="4">
        <f t="shared" si="2"/>
        <v>50</v>
      </c>
      <c r="J69" s="4">
        <f t="shared" si="3"/>
        <v>15.625</v>
      </c>
    </row>
    <row r="70" ht="15.75" customHeight="1">
      <c r="A70" s="3" t="s">
        <v>48</v>
      </c>
      <c r="B70" s="3" t="s">
        <v>30</v>
      </c>
      <c r="C70" s="3" t="s">
        <v>18</v>
      </c>
      <c r="D70" s="3">
        <v>20.0</v>
      </c>
      <c r="E70" s="3" t="s">
        <v>19</v>
      </c>
      <c r="F70" s="3">
        <v>8.0</v>
      </c>
      <c r="G70" s="3">
        <v>12.0</v>
      </c>
      <c r="H70" s="4">
        <f t="shared" si="1"/>
        <v>240</v>
      </c>
      <c r="I70" s="4">
        <f t="shared" si="2"/>
        <v>80</v>
      </c>
      <c r="J70" s="4">
        <f t="shared" si="3"/>
        <v>33.33333333</v>
      </c>
    </row>
    <row r="71" ht="15.75" customHeight="1">
      <c r="A71" s="3" t="s">
        <v>48</v>
      </c>
      <c r="B71" s="3" t="s">
        <v>11</v>
      </c>
      <c r="C71" s="3" t="s">
        <v>12</v>
      </c>
      <c r="D71" s="3">
        <v>3.0</v>
      </c>
      <c r="E71" s="3" t="s">
        <v>13</v>
      </c>
      <c r="F71" s="3">
        <v>270.0</v>
      </c>
      <c r="G71" s="3">
        <v>340.0</v>
      </c>
      <c r="H71" s="4">
        <f t="shared" si="1"/>
        <v>1020</v>
      </c>
      <c r="I71" s="4">
        <f t="shared" si="2"/>
        <v>210</v>
      </c>
      <c r="J71" s="4">
        <f t="shared" si="3"/>
        <v>20.58823529</v>
      </c>
    </row>
    <row r="72" ht="15.75" customHeight="1">
      <c r="A72" s="3" t="s">
        <v>49</v>
      </c>
      <c r="B72" s="3" t="s">
        <v>20</v>
      </c>
      <c r="C72" s="3" t="s">
        <v>18</v>
      </c>
      <c r="D72" s="3">
        <v>140.0</v>
      </c>
      <c r="E72" s="3" t="s">
        <v>19</v>
      </c>
      <c r="F72" s="3">
        <v>9.0</v>
      </c>
      <c r="G72" s="3">
        <v>10.0</v>
      </c>
      <c r="H72" s="4">
        <f t="shared" si="1"/>
        <v>1400</v>
      </c>
      <c r="I72" s="4">
        <f t="shared" si="2"/>
        <v>140</v>
      </c>
      <c r="J72" s="4">
        <f t="shared" si="3"/>
        <v>10</v>
      </c>
    </row>
    <row r="73" ht="15.75" customHeight="1">
      <c r="A73" s="3" t="s">
        <v>49</v>
      </c>
      <c r="B73" s="3" t="s">
        <v>24</v>
      </c>
      <c r="C73" s="3" t="s">
        <v>25</v>
      </c>
      <c r="D73" s="3">
        <v>71.0</v>
      </c>
      <c r="E73" s="3" t="s">
        <v>23</v>
      </c>
      <c r="F73" s="3">
        <v>51.0</v>
      </c>
      <c r="G73" s="3">
        <v>55.0</v>
      </c>
      <c r="H73" s="4">
        <f t="shared" si="1"/>
        <v>3905</v>
      </c>
      <c r="I73" s="4">
        <f t="shared" si="2"/>
        <v>284</v>
      </c>
      <c r="J73" s="4">
        <f t="shared" si="3"/>
        <v>7.272727273</v>
      </c>
    </row>
    <row r="74" ht="15.75" customHeight="1">
      <c r="A74" s="3" t="s">
        <v>49</v>
      </c>
      <c r="B74" s="3" t="s">
        <v>17</v>
      </c>
      <c r="C74" s="3" t="s">
        <v>18</v>
      </c>
      <c r="D74" s="3">
        <v>50.0</v>
      </c>
      <c r="E74" s="3" t="s">
        <v>19</v>
      </c>
      <c r="F74" s="3">
        <v>8.0</v>
      </c>
      <c r="G74" s="3">
        <v>12.0</v>
      </c>
      <c r="H74" s="4">
        <f t="shared" si="1"/>
        <v>600</v>
      </c>
      <c r="I74" s="4">
        <f t="shared" si="2"/>
        <v>200</v>
      </c>
      <c r="J74" s="4">
        <f t="shared" si="3"/>
        <v>33.33333333</v>
      </c>
    </row>
    <row r="75" ht="15.75" customHeight="1">
      <c r="A75" s="3" t="s">
        <v>49</v>
      </c>
      <c r="B75" s="3" t="s">
        <v>32</v>
      </c>
      <c r="C75" s="3" t="s">
        <v>25</v>
      </c>
      <c r="D75" s="3">
        <v>102.0</v>
      </c>
      <c r="E75" s="3" t="s">
        <v>23</v>
      </c>
      <c r="F75" s="3">
        <v>52.0</v>
      </c>
      <c r="G75" s="3">
        <v>55.0</v>
      </c>
      <c r="H75" s="4">
        <f t="shared" si="1"/>
        <v>5610</v>
      </c>
      <c r="I75" s="4">
        <f t="shared" si="2"/>
        <v>306</v>
      </c>
      <c r="J75" s="4">
        <f t="shared" si="3"/>
        <v>5.454545455</v>
      </c>
    </row>
    <row r="76" ht="15.75" customHeight="1">
      <c r="A76" s="3" t="s">
        <v>50</v>
      </c>
      <c r="B76" s="3" t="s">
        <v>40</v>
      </c>
      <c r="C76" s="3" t="s">
        <v>12</v>
      </c>
      <c r="D76" s="3">
        <v>30.0</v>
      </c>
      <c r="E76" s="3" t="s">
        <v>13</v>
      </c>
      <c r="F76" s="3">
        <v>360.0</v>
      </c>
      <c r="G76" s="3">
        <v>410.0</v>
      </c>
      <c r="H76" s="4">
        <f t="shared" si="1"/>
        <v>12300</v>
      </c>
      <c r="I76" s="4">
        <f t="shared" si="2"/>
        <v>1500</v>
      </c>
      <c r="J76" s="4">
        <f t="shared" si="3"/>
        <v>12.19512195</v>
      </c>
    </row>
    <row r="77" ht="15.75" customHeight="1">
      <c r="A77" s="3" t="s">
        <v>50</v>
      </c>
      <c r="B77" s="3" t="s">
        <v>30</v>
      </c>
      <c r="C77" s="3" t="s">
        <v>18</v>
      </c>
      <c r="D77" s="3">
        <v>40.0</v>
      </c>
      <c r="E77" s="3" t="s">
        <v>19</v>
      </c>
      <c r="F77" s="3">
        <v>8.0</v>
      </c>
      <c r="G77" s="3">
        <v>12.0</v>
      </c>
      <c r="H77" s="4">
        <f t="shared" si="1"/>
        <v>480</v>
      </c>
      <c r="I77" s="4">
        <f t="shared" si="2"/>
        <v>160</v>
      </c>
      <c r="J77" s="4">
        <f t="shared" si="3"/>
        <v>33.33333333</v>
      </c>
    </row>
    <row r="78" ht="15.75" customHeight="1">
      <c r="A78" s="3" t="s">
        <v>50</v>
      </c>
      <c r="B78" s="3" t="s">
        <v>17</v>
      </c>
      <c r="C78" s="3" t="s">
        <v>18</v>
      </c>
      <c r="D78" s="3">
        <v>25.0</v>
      </c>
      <c r="E78" s="3" t="s">
        <v>19</v>
      </c>
      <c r="F78" s="3">
        <v>8.0</v>
      </c>
      <c r="G78" s="3">
        <v>12.0</v>
      </c>
      <c r="H78" s="4">
        <f t="shared" si="1"/>
        <v>300</v>
      </c>
      <c r="I78" s="4">
        <f t="shared" si="2"/>
        <v>100</v>
      </c>
      <c r="J78" s="4">
        <f t="shared" si="3"/>
        <v>33.33333333</v>
      </c>
    </row>
    <row r="79" ht="15.75" customHeight="1">
      <c r="A79" s="3" t="s">
        <v>51</v>
      </c>
      <c r="B79" s="3" t="s">
        <v>14</v>
      </c>
      <c r="C79" s="3" t="s">
        <v>12</v>
      </c>
      <c r="D79" s="3">
        <v>3.0</v>
      </c>
      <c r="E79" s="3" t="s">
        <v>13</v>
      </c>
      <c r="F79" s="3">
        <v>290.0</v>
      </c>
      <c r="G79" s="3">
        <v>350.0</v>
      </c>
      <c r="H79" s="4">
        <f t="shared" si="1"/>
        <v>1050</v>
      </c>
      <c r="I79" s="4">
        <f t="shared" si="2"/>
        <v>180</v>
      </c>
      <c r="J79" s="4">
        <f t="shared" si="3"/>
        <v>17.14285714</v>
      </c>
    </row>
    <row r="80" ht="15.75" customHeight="1">
      <c r="A80" s="3" t="s">
        <v>51</v>
      </c>
      <c r="B80" s="3" t="s">
        <v>11</v>
      </c>
      <c r="C80" s="3" t="s">
        <v>12</v>
      </c>
      <c r="D80" s="3">
        <v>10.0</v>
      </c>
      <c r="E80" s="3" t="s">
        <v>13</v>
      </c>
      <c r="F80" s="3">
        <v>270.0</v>
      </c>
      <c r="G80" s="3">
        <v>340.0</v>
      </c>
      <c r="H80" s="4">
        <f t="shared" si="1"/>
        <v>3400</v>
      </c>
      <c r="I80" s="4">
        <f t="shared" si="2"/>
        <v>700</v>
      </c>
      <c r="J80" s="4">
        <f t="shared" si="3"/>
        <v>20.58823529</v>
      </c>
    </row>
    <row r="81" ht="15.75" customHeight="1">
      <c r="A81" s="3" t="s">
        <v>52</v>
      </c>
      <c r="B81" s="3" t="s">
        <v>30</v>
      </c>
      <c r="C81" s="3" t="s">
        <v>18</v>
      </c>
      <c r="D81" s="3">
        <v>25.0</v>
      </c>
      <c r="E81" s="3" t="s">
        <v>19</v>
      </c>
      <c r="F81" s="3">
        <v>8.0</v>
      </c>
      <c r="G81" s="3">
        <v>12.0</v>
      </c>
      <c r="H81" s="4">
        <f t="shared" si="1"/>
        <v>300</v>
      </c>
      <c r="I81" s="4">
        <f t="shared" si="2"/>
        <v>100</v>
      </c>
      <c r="J81" s="4">
        <f t="shared" si="3"/>
        <v>33.33333333</v>
      </c>
    </row>
    <row r="82" ht="15.75" customHeight="1">
      <c r="A82" s="3" t="s">
        <v>52</v>
      </c>
      <c r="B82" s="3" t="s">
        <v>26</v>
      </c>
      <c r="C82" s="3" t="s">
        <v>26</v>
      </c>
      <c r="D82" s="3">
        <v>4.0</v>
      </c>
      <c r="E82" s="3" t="s">
        <v>27</v>
      </c>
      <c r="F82" s="3">
        <v>180.0</v>
      </c>
      <c r="G82" s="3">
        <v>220.0</v>
      </c>
      <c r="H82" s="4">
        <f t="shared" si="1"/>
        <v>880</v>
      </c>
      <c r="I82" s="4">
        <f t="shared" si="2"/>
        <v>160</v>
      </c>
      <c r="J82" s="4">
        <f t="shared" si="3"/>
        <v>18.18181818</v>
      </c>
    </row>
    <row r="83" ht="15.75" customHeight="1">
      <c r="A83" s="3" t="s">
        <v>52</v>
      </c>
      <c r="B83" s="3" t="s">
        <v>24</v>
      </c>
      <c r="C83" s="3" t="s">
        <v>25</v>
      </c>
      <c r="D83" s="3">
        <v>355.0</v>
      </c>
      <c r="E83" s="3" t="s">
        <v>23</v>
      </c>
      <c r="F83" s="3">
        <v>51.0</v>
      </c>
      <c r="G83" s="3">
        <v>55.0</v>
      </c>
      <c r="H83" s="4">
        <f t="shared" si="1"/>
        <v>19525</v>
      </c>
      <c r="I83" s="4">
        <f t="shared" si="2"/>
        <v>1420</v>
      </c>
      <c r="J83" s="4">
        <f t="shared" si="3"/>
        <v>7.272727273</v>
      </c>
    </row>
    <row r="84" ht="15.75" customHeight="1">
      <c r="A84" s="3" t="s">
        <v>53</v>
      </c>
      <c r="B84" s="3" t="s">
        <v>14</v>
      </c>
      <c r="C84" s="3" t="s">
        <v>12</v>
      </c>
      <c r="D84" s="3">
        <v>2.0</v>
      </c>
      <c r="E84" s="3" t="s">
        <v>13</v>
      </c>
      <c r="F84" s="3">
        <v>290.0</v>
      </c>
      <c r="G84" s="3">
        <v>350.0</v>
      </c>
      <c r="H84" s="4">
        <f t="shared" si="1"/>
        <v>700</v>
      </c>
      <c r="I84" s="4">
        <f t="shared" si="2"/>
        <v>120</v>
      </c>
      <c r="J84" s="4">
        <f t="shared" si="3"/>
        <v>17.14285714</v>
      </c>
    </row>
    <row r="85" ht="15.75" customHeight="1">
      <c r="A85" s="3" t="s">
        <v>53</v>
      </c>
      <c r="B85" s="3" t="s">
        <v>30</v>
      </c>
      <c r="C85" s="3" t="s">
        <v>18</v>
      </c>
      <c r="D85" s="3">
        <v>15.0</v>
      </c>
      <c r="E85" s="3" t="s">
        <v>19</v>
      </c>
      <c r="F85" s="3">
        <v>8.0</v>
      </c>
      <c r="G85" s="3">
        <v>12.0</v>
      </c>
      <c r="H85" s="4">
        <f t="shared" si="1"/>
        <v>180</v>
      </c>
      <c r="I85" s="4">
        <f t="shared" si="2"/>
        <v>60</v>
      </c>
      <c r="J85" s="4">
        <f t="shared" si="3"/>
        <v>33.33333333</v>
      </c>
    </row>
    <row r="86" ht="15.75" customHeight="1">
      <c r="A86" s="3" t="s">
        <v>53</v>
      </c>
      <c r="B86" s="3" t="s">
        <v>15</v>
      </c>
      <c r="C86" s="3" t="s">
        <v>12</v>
      </c>
      <c r="D86" s="3">
        <v>1.0</v>
      </c>
      <c r="E86" s="3" t="s">
        <v>13</v>
      </c>
      <c r="F86" s="3">
        <v>270.0</v>
      </c>
      <c r="G86" s="3">
        <v>320.0</v>
      </c>
      <c r="H86" s="4">
        <f t="shared" si="1"/>
        <v>320</v>
      </c>
      <c r="I86" s="4">
        <f t="shared" si="2"/>
        <v>50</v>
      </c>
      <c r="J86" s="4">
        <f t="shared" si="3"/>
        <v>15.625</v>
      </c>
    </row>
    <row r="87" ht="15.75" customHeight="1">
      <c r="A87" s="3" t="s">
        <v>53</v>
      </c>
      <c r="B87" s="3" t="s">
        <v>32</v>
      </c>
      <c r="C87" s="3" t="s">
        <v>25</v>
      </c>
      <c r="D87" s="3">
        <v>51.0</v>
      </c>
      <c r="E87" s="3" t="s">
        <v>23</v>
      </c>
      <c r="F87" s="3">
        <v>52.0</v>
      </c>
      <c r="G87" s="3">
        <v>55.0</v>
      </c>
      <c r="H87" s="4">
        <f t="shared" si="1"/>
        <v>2805</v>
      </c>
      <c r="I87" s="4">
        <f t="shared" si="2"/>
        <v>153</v>
      </c>
      <c r="J87" s="4">
        <f t="shared" si="3"/>
        <v>5.454545455</v>
      </c>
    </row>
    <row r="88" ht="15.75" customHeight="1">
      <c r="A88" s="3" t="s">
        <v>54</v>
      </c>
      <c r="B88" s="3" t="s">
        <v>42</v>
      </c>
      <c r="C88" s="3" t="s">
        <v>43</v>
      </c>
      <c r="D88" s="3">
        <v>3.0</v>
      </c>
      <c r="E88" s="3" t="s">
        <v>19</v>
      </c>
      <c r="F88" s="3">
        <v>360.0</v>
      </c>
      <c r="G88" s="3">
        <v>400.0</v>
      </c>
      <c r="H88" s="4">
        <f t="shared" si="1"/>
        <v>1200</v>
      </c>
      <c r="I88" s="4">
        <f t="shared" si="2"/>
        <v>120</v>
      </c>
      <c r="J88" s="4">
        <f t="shared" si="3"/>
        <v>10</v>
      </c>
    </row>
    <row r="89" ht="15.75" customHeight="1">
      <c r="A89" s="3" t="s">
        <v>54</v>
      </c>
      <c r="B89" s="3" t="s">
        <v>17</v>
      </c>
      <c r="C89" s="3" t="s">
        <v>18</v>
      </c>
      <c r="D89" s="3">
        <v>150.0</v>
      </c>
      <c r="E89" s="3" t="s">
        <v>19</v>
      </c>
      <c r="F89" s="3">
        <v>8.0</v>
      </c>
      <c r="G89" s="3">
        <v>12.0</v>
      </c>
      <c r="H89" s="4">
        <f t="shared" si="1"/>
        <v>1800</v>
      </c>
      <c r="I89" s="4">
        <f t="shared" si="2"/>
        <v>600</v>
      </c>
      <c r="J89" s="4">
        <f t="shared" si="3"/>
        <v>33.33333333</v>
      </c>
    </row>
    <row r="90" ht="15.75" customHeight="1">
      <c r="A90" s="3" t="s">
        <v>54</v>
      </c>
      <c r="B90" s="3" t="s">
        <v>21</v>
      </c>
      <c r="C90" s="3" t="s">
        <v>22</v>
      </c>
      <c r="D90" s="3">
        <v>5.0</v>
      </c>
      <c r="E90" s="3" t="s">
        <v>23</v>
      </c>
      <c r="F90" s="3">
        <v>70.0</v>
      </c>
      <c r="G90" s="3">
        <v>76.0</v>
      </c>
      <c r="H90" s="4">
        <f t="shared" si="1"/>
        <v>380</v>
      </c>
      <c r="I90" s="4">
        <f t="shared" si="2"/>
        <v>30</v>
      </c>
      <c r="J90" s="4">
        <f t="shared" si="3"/>
        <v>7.894736842</v>
      </c>
    </row>
    <row r="91" ht="15.75" customHeight="1">
      <c r="A91" s="3" t="s">
        <v>54</v>
      </c>
      <c r="B91" s="3" t="s">
        <v>20</v>
      </c>
      <c r="C91" s="3" t="s">
        <v>18</v>
      </c>
      <c r="D91" s="3">
        <v>100.0</v>
      </c>
      <c r="E91" s="3" t="s">
        <v>19</v>
      </c>
      <c r="F91" s="3">
        <v>9.0</v>
      </c>
      <c r="G91" s="3">
        <v>10.0</v>
      </c>
      <c r="H91" s="4">
        <f t="shared" si="1"/>
        <v>1000</v>
      </c>
      <c r="I91" s="4">
        <f t="shared" si="2"/>
        <v>100</v>
      </c>
      <c r="J91" s="4">
        <f t="shared" si="3"/>
        <v>10</v>
      </c>
    </row>
    <row r="92" ht="15.75" customHeight="1">
      <c r="A92" s="3" t="s">
        <v>54</v>
      </c>
      <c r="B92" s="3" t="s">
        <v>14</v>
      </c>
      <c r="C92" s="3" t="s">
        <v>12</v>
      </c>
      <c r="D92" s="3">
        <v>2.0</v>
      </c>
      <c r="E92" s="3" t="s">
        <v>13</v>
      </c>
      <c r="F92" s="3">
        <v>290.0</v>
      </c>
      <c r="G92" s="3">
        <v>350.0</v>
      </c>
      <c r="H92" s="4">
        <f t="shared" si="1"/>
        <v>700</v>
      </c>
      <c r="I92" s="4">
        <f t="shared" si="2"/>
        <v>120</v>
      </c>
      <c r="J92" s="4">
        <f t="shared" si="3"/>
        <v>17.14285714</v>
      </c>
    </row>
    <row r="93" ht="15.75" customHeight="1">
      <c r="A93" s="3" t="s">
        <v>54</v>
      </c>
      <c r="B93" s="3" t="s">
        <v>15</v>
      </c>
      <c r="C93" s="3" t="s">
        <v>12</v>
      </c>
      <c r="D93" s="3">
        <v>8.0</v>
      </c>
      <c r="E93" s="3" t="s">
        <v>13</v>
      </c>
      <c r="F93" s="3">
        <v>270.0</v>
      </c>
      <c r="G93" s="3">
        <v>320.0</v>
      </c>
      <c r="H93" s="4">
        <f t="shared" si="1"/>
        <v>2560</v>
      </c>
      <c r="I93" s="4">
        <f t="shared" si="2"/>
        <v>400</v>
      </c>
      <c r="J93" s="4">
        <f t="shared" si="3"/>
        <v>15.625</v>
      </c>
    </row>
    <row r="94" ht="15.75" customHeight="1">
      <c r="A94" s="3" t="s">
        <v>55</v>
      </c>
      <c r="B94" s="3" t="s">
        <v>17</v>
      </c>
      <c r="C94" s="3" t="s">
        <v>18</v>
      </c>
      <c r="D94" s="3">
        <v>15.0</v>
      </c>
      <c r="E94" s="3" t="s">
        <v>19</v>
      </c>
      <c r="F94" s="3">
        <v>8.0</v>
      </c>
      <c r="G94" s="3">
        <v>12.0</v>
      </c>
      <c r="H94" s="4">
        <f t="shared" si="1"/>
        <v>180</v>
      </c>
      <c r="I94" s="4">
        <f t="shared" si="2"/>
        <v>60</v>
      </c>
      <c r="J94" s="4">
        <f t="shared" si="3"/>
        <v>33.33333333</v>
      </c>
    </row>
    <row r="95" ht="15.75" customHeight="1">
      <c r="A95" s="3" t="s">
        <v>55</v>
      </c>
      <c r="B95" s="3" t="s">
        <v>15</v>
      </c>
      <c r="C95" s="3" t="s">
        <v>12</v>
      </c>
      <c r="D95" s="3">
        <v>12.0</v>
      </c>
      <c r="E95" s="3" t="s">
        <v>13</v>
      </c>
      <c r="F95" s="3">
        <v>270.0</v>
      </c>
      <c r="G95" s="3">
        <v>320.0</v>
      </c>
      <c r="H95" s="4">
        <f t="shared" si="1"/>
        <v>3840</v>
      </c>
      <c r="I95" s="4">
        <f t="shared" si="2"/>
        <v>600</v>
      </c>
      <c r="J95" s="4">
        <f t="shared" si="3"/>
        <v>15.625</v>
      </c>
    </row>
    <row r="96" ht="15.75" customHeight="1">
      <c r="A96" s="3" t="s">
        <v>55</v>
      </c>
      <c r="B96" s="3" t="s">
        <v>11</v>
      </c>
      <c r="C96" s="3" t="s">
        <v>12</v>
      </c>
      <c r="D96" s="3">
        <v>3.0</v>
      </c>
      <c r="E96" s="3" t="s">
        <v>13</v>
      </c>
      <c r="F96" s="3">
        <v>270.0</v>
      </c>
      <c r="G96" s="3">
        <v>340.0</v>
      </c>
      <c r="H96" s="4">
        <f t="shared" si="1"/>
        <v>1020</v>
      </c>
      <c r="I96" s="4">
        <f t="shared" si="2"/>
        <v>210</v>
      </c>
      <c r="J96" s="4">
        <f t="shared" si="3"/>
        <v>20.58823529</v>
      </c>
    </row>
    <row r="97" ht="15.75" customHeight="1">
      <c r="A97" s="3" t="s">
        <v>55</v>
      </c>
      <c r="B97" s="3" t="s">
        <v>26</v>
      </c>
      <c r="C97" s="3" t="s">
        <v>26</v>
      </c>
      <c r="D97" s="3">
        <v>2.0</v>
      </c>
      <c r="E97" s="3" t="s">
        <v>27</v>
      </c>
      <c r="F97" s="3">
        <v>180.0</v>
      </c>
      <c r="G97" s="3">
        <v>220.0</v>
      </c>
      <c r="H97" s="4">
        <f t="shared" si="1"/>
        <v>440</v>
      </c>
      <c r="I97" s="4">
        <f t="shared" si="2"/>
        <v>80</v>
      </c>
      <c r="J97" s="4">
        <f t="shared" si="3"/>
        <v>18.18181818</v>
      </c>
    </row>
    <row r="98" ht="15.75" customHeight="1">
      <c r="A98" s="3" t="s">
        <v>56</v>
      </c>
      <c r="B98" s="3" t="s">
        <v>14</v>
      </c>
      <c r="C98" s="3" t="s">
        <v>12</v>
      </c>
      <c r="D98" s="3">
        <v>2.0</v>
      </c>
      <c r="E98" s="3" t="s">
        <v>13</v>
      </c>
      <c r="F98" s="3">
        <v>290.0</v>
      </c>
      <c r="G98" s="3">
        <v>350.0</v>
      </c>
      <c r="H98" s="4">
        <f t="shared" si="1"/>
        <v>700</v>
      </c>
      <c r="I98" s="4">
        <f t="shared" si="2"/>
        <v>120</v>
      </c>
      <c r="J98" s="4">
        <f t="shared" si="3"/>
        <v>17.14285714</v>
      </c>
    </row>
    <row r="99" ht="15.75" customHeight="1">
      <c r="A99" s="3" t="s">
        <v>56</v>
      </c>
      <c r="B99" s="3" t="s">
        <v>17</v>
      </c>
      <c r="C99" s="3" t="s">
        <v>18</v>
      </c>
      <c r="D99" s="3">
        <v>200.0</v>
      </c>
      <c r="E99" s="3" t="s">
        <v>19</v>
      </c>
      <c r="F99" s="3">
        <v>8.0</v>
      </c>
      <c r="G99" s="3">
        <v>12.0</v>
      </c>
      <c r="H99" s="4">
        <f t="shared" si="1"/>
        <v>2400</v>
      </c>
      <c r="I99" s="4">
        <f t="shared" si="2"/>
        <v>800</v>
      </c>
      <c r="J99" s="4">
        <f t="shared" si="3"/>
        <v>33.33333333</v>
      </c>
    </row>
    <row r="100" ht="15.75" customHeight="1">
      <c r="A100" s="3" t="s">
        <v>56</v>
      </c>
      <c r="B100" s="3" t="s">
        <v>24</v>
      </c>
      <c r="C100" s="3" t="s">
        <v>25</v>
      </c>
      <c r="D100" s="3">
        <v>71.0</v>
      </c>
      <c r="E100" s="3" t="s">
        <v>23</v>
      </c>
      <c r="F100" s="3">
        <v>51.0</v>
      </c>
      <c r="G100" s="3">
        <v>55.0</v>
      </c>
      <c r="H100" s="4">
        <f t="shared" si="1"/>
        <v>3905</v>
      </c>
      <c r="I100" s="4">
        <f t="shared" si="2"/>
        <v>284</v>
      </c>
      <c r="J100" s="4">
        <f t="shared" si="3"/>
        <v>7.272727273</v>
      </c>
    </row>
    <row r="101" ht="15.75" customHeight="1">
      <c r="A101" s="3" t="s">
        <v>57</v>
      </c>
      <c r="B101" s="3" t="s">
        <v>20</v>
      </c>
      <c r="C101" s="3" t="s">
        <v>18</v>
      </c>
      <c r="D101" s="3">
        <v>100.0</v>
      </c>
      <c r="E101" s="3" t="s">
        <v>19</v>
      </c>
      <c r="F101" s="3">
        <v>9.0</v>
      </c>
      <c r="G101" s="3">
        <v>10.0</v>
      </c>
      <c r="H101" s="4">
        <f t="shared" si="1"/>
        <v>1000</v>
      </c>
      <c r="I101" s="4">
        <f t="shared" si="2"/>
        <v>100</v>
      </c>
      <c r="J101" s="4">
        <f t="shared" si="3"/>
        <v>10</v>
      </c>
    </row>
    <row r="102" ht="15.75" customHeight="1">
      <c r="A102" s="3" t="s">
        <v>57</v>
      </c>
      <c r="B102" s="3" t="s">
        <v>24</v>
      </c>
      <c r="C102" s="3" t="s">
        <v>25</v>
      </c>
      <c r="D102" s="3">
        <v>213.0</v>
      </c>
      <c r="E102" s="3" t="s">
        <v>23</v>
      </c>
      <c r="F102" s="3">
        <v>52.0</v>
      </c>
      <c r="G102" s="3">
        <v>55.0</v>
      </c>
      <c r="H102" s="4">
        <f t="shared" si="1"/>
        <v>11715</v>
      </c>
      <c r="I102" s="4">
        <f t="shared" si="2"/>
        <v>639</v>
      </c>
      <c r="J102" s="4">
        <f t="shared" si="3"/>
        <v>5.454545455</v>
      </c>
    </row>
    <row r="103" ht="15.75" customHeight="1">
      <c r="A103" s="3" t="s">
        <v>58</v>
      </c>
      <c r="B103" s="3" t="s">
        <v>15</v>
      </c>
      <c r="C103" s="3" t="s">
        <v>12</v>
      </c>
      <c r="D103" s="3">
        <v>1.0</v>
      </c>
      <c r="E103" s="3" t="s">
        <v>13</v>
      </c>
      <c r="F103" s="3">
        <v>270.0</v>
      </c>
      <c r="G103" s="3">
        <v>320.0</v>
      </c>
      <c r="H103" s="4">
        <f t="shared" si="1"/>
        <v>320</v>
      </c>
      <c r="I103" s="4">
        <f t="shared" si="2"/>
        <v>50</v>
      </c>
      <c r="J103" s="4">
        <f t="shared" si="3"/>
        <v>15.625</v>
      </c>
    </row>
    <row r="104" ht="15.75" customHeight="1">
      <c r="A104" s="3" t="s">
        <v>58</v>
      </c>
      <c r="B104" s="3" t="s">
        <v>20</v>
      </c>
      <c r="C104" s="3" t="s">
        <v>18</v>
      </c>
      <c r="D104" s="3">
        <v>25.0</v>
      </c>
      <c r="E104" s="3" t="s">
        <v>19</v>
      </c>
      <c r="F104" s="3">
        <v>9.0</v>
      </c>
      <c r="G104" s="3">
        <v>10.0</v>
      </c>
      <c r="H104" s="4">
        <f t="shared" si="1"/>
        <v>250</v>
      </c>
      <c r="I104" s="4">
        <f t="shared" si="2"/>
        <v>25</v>
      </c>
      <c r="J104" s="4">
        <f t="shared" si="3"/>
        <v>10</v>
      </c>
    </row>
    <row r="105" ht="15.75" customHeight="1">
      <c r="A105" s="3" t="s">
        <v>58</v>
      </c>
      <c r="B105" s="3" t="s">
        <v>26</v>
      </c>
      <c r="C105" s="3" t="s">
        <v>26</v>
      </c>
      <c r="D105" s="3">
        <v>1.0</v>
      </c>
      <c r="E105" s="3" t="s">
        <v>27</v>
      </c>
      <c r="F105" s="3">
        <v>180.0</v>
      </c>
      <c r="G105" s="3">
        <v>220.0</v>
      </c>
      <c r="H105" s="4">
        <f t="shared" si="1"/>
        <v>220</v>
      </c>
      <c r="I105" s="4">
        <f t="shared" si="2"/>
        <v>40</v>
      </c>
      <c r="J105" s="4">
        <f t="shared" si="3"/>
        <v>18.18181818</v>
      </c>
    </row>
    <row r="106" ht="15.75" customHeight="1">
      <c r="A106" s="3" t="s">
        <v>58</v>
      </c>
      <c r="B106" s="3" t="s">
        <v>17</v>
      </c>
      <c r="C106" s="3" t="s">
        <v>18</v>
      </c>
      <c r="D106" s="3">
        <v>30.0</v>
      </c>
      <c r="E106" s="3" t="s">
        <v>19</v>
      </c>
      <c r="F106" s="3">
        <v>8.0</v>
      </c>
      <c r="G106" s="3">
        <v>12.0</v>
      </c>
      <c r="H106" s="4">
        <f t="shared" si="1"/>
        <v>360</v>
      </c>
      <c r="I106" s="4">
        <f t="shared" si="2"/>
        <v>120</v>
      </c>
      <c r="J106" s="4">
        <f t="shared" si="3"/>
        <v>33.33333333</v>
      </c>
    </row>
    <row r="107" ht="15.75" customHeight="1">
      <c r="A107" s="3" t="s">
        <v>59</v>
      </c>
      <c r="B107" s="3" t="s">
        <v>11</v>
      </c>
      <c r="C107" s="3" t="s">
        <v>12</v>
      </c>
      <c r="D107" s="3">
        <v>5.0</v>
      </c>
      <c r="E107" s="3" t="s">
        <v>13</v>
      </c>
      <c r="F107" s="3">
        <v>270.0</v>
      </c>
      <c r="G107" s="3">
        <v>340.0</v>
      </c>
      <c r="H107" s="4">
        <f t="shared" si="1"/>
        <v>1700</v>
      </c>
      <c r="I107" s="4">
        <f t="shared" si="2"/>
        <v>350</v>
      </c>
      <c r="J107" s="4">
        <f t="shared" si="3"/>
        <v>20.58823529</v>
      </c>
    </row>
    <row r="108" ht="15.75" customHeight="1">
      <c r="A108" s="3" t="s">
        <v>59</v>
      </c>
      <c r="B108" s="3" t="s">
        <v>32</v>
      </c>
      <c r="C108" s="3" t="s">
        <v>25</v>
      </c>
      <c r="D108" s="3">
        <v>51.0</v>
      </c>
      <c r="E108" s="3" t="s">
        <v>23</v>
      </c>
      <c r="F108" s="3">
        <v>52.0</v>
      </c>
      <c r="G108" s="3">
        <v>55.0</v>
      </c>
      <c r="H108" s="4">
        <f t="shared" si="1"/>
        <v>2805</v>
      </c>
      <c r="I108" s="4">
        <f t="shared" si="2"/>
        <v>153</v>
      </c>
      <c r="J108" s="4">
        <f t="shared" si="3"/>
        <v>5.454545455</v>
      </c>
    </row>
    <row r="109" ht="15.75" customHeight="1">
      <c r="A109" s="3" t="s">
        <v>59</v>
      </c>
      <c r="B109" s="3" t="s">
        <v>20</v>
      </c>
      <c r="C109" s="3" t="s">
        <v>18</v>
      </c>
      <c r="D109" s="3">
        <v>25.0</v>
      </c>
      <c r="E109" s="3" t="s">
        <v>19</v>
      </c>
      <c r="F109" s="3">
        <v>9.0</v>
      </c>
      <c r="G109" s="3">
        <v>10.0</v>
      </c>
      <c r="H109" s="4">
        <f t="shared" si="1"/>
        <v>250</v>
      </c>
      <c r="I109" s="4">
        <f t="shared" si="2"/>
        <v>25</v>
      </c>
      <c r="J109" s="4">
        <f t="shared" si="3"/>
        <v>10</v>
      </c>
    </row>
    <row r="110" ht="15.75" customHeight="1">
      <c r="A110" s="3" t="s">
        <v>59</v>
      </c>
      <c r="B110" s="3" t="s">
        <v>15</v>
      </c>
      <c r="C110" s="3" t="s">
        <v>12</v>
      </c>
      <c r="D110" s="3">
        <v>3.0</v>
      </c>
      <c r="E110" s="3" t="s">
        <v>13</v>
      </c>
      <c r="F110" s="3">
        <v>270.0</v>
      </c>
      <c r="G110" s="3">
        <v>320.0</v>
      </c>
      <c r="H110" s="4">
        <f t="shared" si="1"/>
        <v>960</v>
      </c>
      <c r="I110" s="4">
        <f t="shared" si="2"/>
        <v>150</v>
      </c>
      <c r="J110" s="4">
        <f t="shared" si="3"/>
        <v>15.625</v>
      </c>
    </row>
    <row r="111" ht="15.75" customHeight="1">
      <c r="A111" s="3" t="s">
        <v>59</v>
      </c>
      <c r="B111" s="3" t="s">
        <v>26</v>
      </c>
      <c r="C111" s="3" t="s">
        <v>26</v>
      </c>
      <c r="D111" s="3">
        <v>1.0</v>
      </c>
      <c r="E111" s="3" t="s">
        <v>27</v>
      </c>
      <c r="F111" s="3">
        <v>180.0</v>
      </c>
      <c r="G111" s="3">
        <v>220.0</v>
      </c>
      <c r="H111" s="4">
        <f t="shared" si="1"/>
        <v>220</v>
      </c>
      <c r="I111" s="4">
        <f t="shared" si="2"/>
        <v>40</v>
      </c>
      <c r="J111" s="4">
        <f t="shared" si="3"/>
        <v>18.18181818</v>
      </c>
    </row>
    <row r="112" ht="15.75" customHeight="1">
      <c r="A112" s="3" t="s">
        <v>60</v>
      </c>
      <c r="B112" s="3" t="s">
        <v>15</v>
      </c>
      <c r="C112" s="3" t="s">
        <v>12</v>
      </c>
      <c r="D112" s="3">
        <v>1.0</v>
      </c>
      <c r="E112" s="3" t="s">
        <v>13</v>
      </c>
      <c r="F112" s="3">
        <v>270.0</v>
      </c>
      <c r="G112" s="3">
        <v>320.0</v>
      </c>
      <c r="H112" s="4">
        <f t="shared" si="1"/>
        <v>320</v>
      </c>
      <c r="I112" s="4">
        <f t="shared" si="2"/>
        <v>50</v>
      </c>
      <c r="J112" s="4">
        <f t="shared" si="3"/>
        <v>15.625</v>
      </c>
    </row>
    <row r="113" ht="15.75" customHeight="1">
      <c r="A113" s="3" t="s">
        <v>60</v>
      </c>
      <c r="B113" s="3" t="s">
        <v>24</v>
      </c>
      <c r="C113" s="3" t="s">
        <v>25</v>
      </c>
      <c r="D113" s="3">
        <v>71.0</v>
      </c>
      <c r="E113" s="3" t="s">
        <v>23</v>
      </c>
      <c r="F113" s="3">
        <v>52.0</v>
      </c>
      <c r="G113" s="3">
        <v>55.0</v>
      </c>
      <c r="H113" s="4">
        <f t="shared" si="1"/>
        <v>3905</v>
      </c>
      <c r="I113" s="4">
        <f t="shared" si="2"/>
        <v>213</v>
      </c>
      <c r="J113" s="4">
        <f t="shared" si="3"/>
        <v>5.454545455</v>
      </c>
    </row>
    <row r="114" ht="15.75" customHeight="1">
      <c r="A114" s="3" t="s">
        <v>60</v>
      </c>
      <c r="B114" s="3" t="s">
        <v>14</v>
      </c>
      <c r="C114" s="3" t="s">
        <v>12</v>
      </c>
      <c r="D114" s="3">
        <v>3.0</v>
      </c>
      <c r="E114" s="3" t="s">
        <v>13</v>
      </c>
      <c r="F114" s="3">
        <v>290.0</v>
      </c>
      <c r="G114" s="3">
        <v>350.0</v>
      </c>
      <c r="H114" s="4">
        <f t="shared" si="1"/>
        <v>1050</v>
      </c>
      <c r="I114" s="4">
        <f t="shared" si="2"/>
        <v>180</v>
      </c>
      <c r="J114" s="4">
        <f t="shared" si="3"/>
        <v>17.14285714</v>
      </c>
    </row>
    <row r="115" ht="15.75" customHeight="1">
      <c r="A115" s="3" t="s">
        <v>60</v>
      </c>
      <c r="B115" s="3" t="s">
        <v>30</v>
      </c>
      <c r="C115" s="3" t="s">
        <v>18</v>
      </c>
      <c r="D115" s="3">
        <v>50.0</v>
      </c>
      <c r="E115" s="3" t="s">
        <v>19</v>
      </c>
      <c r="F115" s="3">
        <v>8.0</v>
      </c>
      <c r="G115" s="3">
        <v>12.0</v>
      </c>
      <c r="H115" s="4">
        <f t="shared" si="1"/>
        <v>600</v>
      </c>
      <c r="I115" s="4">
        <f t="shared" si="2"/>
        <v>200</v>
      </c>
      <c r="J115" s="4">
        <f t="shared" si="3"/>
        <v>33.33333333</v>
      </c>
    </row>
    <row r="116" ht="15.75" customHeight="1">
      <c r="A116" s="3" t="s">
        <v>60</v>
      </c>
      <c r="B116" s="3" t="s">
        <v>32</v>
      </c>
      <c r="C116" s="3" t="s">
        <v>25</v>
      </c>
      <c r="D116" s="3">
        <v>51.0</v>
      </c>
      <c r="E116" s="3" t="s">
        <v>23</v>
      </c>
      <c r="F116" s="3">
        <v>52.0</v>
      </c>
      <c r="G116" s="3">
        <v>55.0</v>
      </c>
      <c r="H116" s="4">
        <f t="shared" si="1"/>
        <v>2805</v>
      </c>
      <c r="I116" s="4">
        <f t="shared" si="2"/>
        <v>153</v>
      </c>
      <c r="J116" s="4">
        <f t="shared" si="3"/>
        <v>5.454545455</v>
      </c>
    </row>
    <row r="117" ht="15.75" customHeight="1">
      <c r="A117" s="3" t="s">
        <v>60</v>
      </c>
      <c r="B117" s="3" t="s">
        <v>29</v>
      </c>
      <c r="C117" s="3" t="s">
        <v>29</v>
      </c>
      <c r="D117" s="3">
        <v>5.0</v>
      </c>
      <c r="E117" s="3" t="s">
        <v>27</v>
      </c>
      <c r="F117" s="3">
        <v>240.0</v>
      </c>
      <c r="G117" s="3">
        <v>280.0</v>
      </c>
      <c r="H117" s="4">
        <f t="shared" si="1"/>
        <v>1400</v>
      </c>
      <c r="I117" s="4">
        <f t="shared" si="2"/>
        <v>200</v>
      </c>
      <c r="J117" s="4">
        <f t="shared" si="3"/>
        <v>14.28571429</v>
      </c>
    </row>
    <row r="118" ht="15.75" customHeight="1">
      <c r="A118" s="3" t="s">
        <v>61</v>
      </c>
      <c r="B118" s="3" t="s">
        <v>20</v>
      </c>
      <c r="C118" s="3" t="s">
        <v>18</v>
      </c>
      <c r="D118" s="3">
        <v>20.0</v>
      </c>
      <c r="E118" s="3" t="s">
        <v>19</v>
      </c>
      <c r="F118" s="3">
        <v>9.0</v>
      </c>
      <c r="G118" s="3">
        <v>10.0</v>
      </c>
      <c r="H118" s="4">
        <f t="shared" si="1"/>
        <v>200</v>
      </c>
      <c r="I118" s="4">
        <f t="shared" si="2"/>
        <v>20</v>
      </c>
      <c r="J118" s="4">
        <f t="shared" si="3"/>
        <v>10</v>
      </c>
    </row>
    <row r="119" ht="15.75" customHeight="1">
      <c r="A119" s="3" t="s">
        <v>61</v>
      </c>
      <c r="B119" s="3" t="s">
        <v>29</v>
      </c>
      <c r="C119" s="3" t="s">
        <v>29</v>
      </c>
      <c r="D119" s="3">
        <v>6.0</v>
      </c>
      <c r="E119" s="3" t="s">
        <v>27</v>
      </c>
      <c r="F119" s="3">
        <v>240.0</v>
      </c>
      <c r="G119" s="3">
        <v>280.0</v>
      </c>
      <c r="H119" s="4">
        <f t="shared" si="1"/>
        <v>1680</v>
      </c>
      <c r="I119" s="4">
        <f t="shared" si="2"/>
        <v>240</v>
      </c>
      <c r="J119" s="4">
        <f t="shared" si="3"/>
        <v>14.28571429</v>
      </c>
    </row>
    <row r="120" ht="15.75" customHeight="1">
      <c r="A120" s="3" t="s">
        <v>61</v>
      </c>
      <c r="B120" s="3" t="s">
        <v>32</v>
      </c>
      <c r="C120" s="3" t="s">
        <v>25</v>
      </c>
      <c r="D120" s="3">
        <v>51.0</v>
      </c>
      <c r="E120" s="3" t="s">
        <v>23</v>
      </c>
      <c r="F120" s="3">
        <v>52.0</v>
      </c>
      <c r="G120" s="3">
        <v>55.0</v>
      </c>
      <c r="H120" s="4">
        <f t="shared" si="1"/>
        <v>2805</v>
      </c>
      <c r="I120" s="4">
        <f t="shared" si="2"/>
        <v>153</v>
      </c>
      <c r="J120" s="4">
        <f t="shared" si="3"/>
        <v>5.454545455</v>
      </c>
    </row>
    <row r="121" ht="15.75" customHeight="1">
      <c r="A121" s="3" t="s">
        <v>61</v>
      </c>
      <c r="B121" s="3" t="s">
        <v>14</v>
      </c>
      <c r="C121" s="3" t="s">
        <v>12</v>
      </c>
      <c r="D121" s="3">
        <v>3.0</v>
      </c>
      <c r="E121" s="3" t="s">
        <v>13</v>
      </c>
      <c r="F121" s="3">
        <v>290.0</v>
      </c>
      <c r="G121" s="3">
        <v>350.0</v>
      </c>
      <c r="H121" s="4">
        <f t="shared" si="1"/>
        <v>1050</v>
      </c>
      <c r="I121" s="4">
        <f t="shared" si="2"/>
        <v>180</v>
      </c>
      <c r="J121" s="4">
        <f t="shared" si="3"/>
        <v>17.14285714</v>
      </c>
    </row>
    <row r="122" ht="15.75" customHeight="1">
      <c r="A122" s="3" t="s">
        <v>61</v>
      </c>
      <c r="B122" s="3" t="s">
        <v>26</v>
      </c>
      <c r="C122" s="3" t="s">
        <v>26</v>
      </c>
      <c r="D122" s="3">
        <v>10.0</v>
      </c>
      <c r="E122" s="3" t="s">
        <v>27</v>
      </c>
      <c r="F122" s="3">
        <v>180.0</v>
      </c>
      <c r="G122" s="3">
        <v>220.0</v>
      </c>
      <c r="H122" s="4">
        <f t="shared" si="1"/>
        <v>2200</v>
      </c>
      <c r="I122" s="4">
        <f t="shared" si="2"/>
        <v>400</v>
      </c>
      <c r="J122" s="4">
        <f t="shared" si="3"/>
        <v>18.18181818</v>
      </c>
    </row>
    <row r="123" ht="15.75" customHeight="1">
      <c r="A123" s="3" t="s">
        <v>62</v>
      </c>
      <c r="B123" s="3" t="s">
        <v>26</v>
      </c>
      <c r="C123" s="3" t="s">
        <v>26</v>
      </c>
      <c r="D123" s="3">
        <v>8.0</v>
      </c>
      <c r="E123" s="3" t="s">
        <v>27</v>
      </c>
      <c r="F123" s="3">
        <v>180.0</v>
      </c>
      <c r="G123" s="3">
        <v>220.0</v>
      </c>
      <c r="H123" s="4">
        <f t="shared" si="1"/>
        <v>1760</v>
      </c>
      <c r="I123" s="4">
        <f t="shared" si="2"/>
        <v>320</v>
      </c>
      <c r="J123" s="4">
        <f t="shared" si="3"/>
        <v>18.18181818</v>
      </c>
    </row>
    <row r="124" ht="15.75" customHeight="1">
      <c r="A124" s="3" t="s">
        <v>62</v>
      </c>
      <c r="B124" s="3" t="s">
        <v>15</v>
      </c>
      <c r="C124" s="3" t="s">
        <v>12</v>
      </c>
      <c r="D124" s="3">
        <v>3.0</v>
      </c>
      <c r="E124" s="3" t="s">
        <v>13</v>
      </c>
      <c r="F124" s="3">
        <v>270.0</v>
      </c>
      <c r="G124" s="3">
        <v>320.0</v>
      </c>
      <c r="H124" s="4">
        <f t="shared" si="1"/>
        <v>960</v>
      </c>
      <c r="I124" s="4">
        <f t="shared" si="2"/>
        <v>150</v>
      </c>
      <c r="J124" s="4">
        <f t="shared" si="3"/>
        <v>15.625</v>
      </c>
    </row>
    <row r="125" ht="15.75" customHeight="1">
      <c r="A125" s="3" t="s">
        <v>62</v>
      </c>
      <c r="B125" s="3" t="s">
        <v>32</v>
      </c>
      <c r="C125" s="3" t="s">
        <v>25</v>
      </c>
      <c r="D125" s="3">
        <v>102.0</v>
      </c>
      <c r="E125" s="3" t="s">
        <v>23</v>
      </c>
      <c r="F125" s="3">
        <v>52.0</v>
      </c>
      <c r="G125" s="3">
        <v>55.0</v>
      </c>
      <c r="H125" s="4">
        <f t="shared" si="1"/>
        <v>5610</v>
      </c>
      <c r="I125" s="4">
        <f t="shared" si="2"/>
        <v>306</v>
      </c>
      <c r="J125" s="4">
        <f t="shared" si="3"/>
        <v>5.454545455</v>
      </c>
    </row>
    <row r="126" ht="15.75" customHeight="1">
      <c r="A126" s="3" t="s">
        <v>62</v>
      </c>
      <c r="B126" s="3" t="s">
        <v>11</v>
      </c>
      <c r="C126" s="3" t="s">
        <v>12</v>
      </c>
      <c r="D126" s="3">
        <v>2.0</v>
      </c>
      <c r="E126" s="3" t="s">
        <v>13</v>
      </c>
      <c r="F126" s="3">
        <v>270.0</v>
      </c>
      <c r="G126" s="3">
        <v>340.0</v>
      </c>
      <c r="H126" s="4">
        <f t="shared" si="1"/>
        <v>680</v>
      </c>
      <c r="I126" s="4">
        <f t="shared" si="2"/>
        <v>140</v>
      </c>
      <c r="J126" s="4">
        <f t="shared" si="3"/>
        <v>20.58823529</v>
      </c>
    </row>
    <row r="127" ht="15.75" customHeight="1">
      <c r="A127" s="3" t="s">
        <v>62</v>
      </c>
      <c r="B127" s="3" t="s">
        <v>30</v>
      </c>
      <c r="C127" s="3" t="s">
        <v>18</v>
      </c>
      <c r="D127" s="3">
        <v>100.0</v>
      </c>
      <c r="E127" s="3" t="s">
        <v>19</v>
      </c>
      <c r="F127" s="3">
        <v>8.0</v>
      </c>
      <c r="G127" s="3">
        <v>12.0</v>
      </c>
      <c r="H127" s="4">
        <f t="shared" si="1"/>
        <v>1200</v>
      </c>
      <c r="I127" s="4">
        <f t="shared" si="2"/>
        <v>400</v>
      </c>
      <c r="J127" s="4">
        <f t="shared" si="3"/>
        <v>33.33333333</v>
      </c>
    </row>
    <row r="128" ht="15.75" customHeight="1">
      <c r="A128" s="3" t="s">
        <v>63</v>
      </c>
      <c r="B128" s="3" t="s">
        <v>15</v>
      </c>
      <c r="C128" s="3" t="s">
        <v>12</v>
      </c>
      <c r="D128" s="3">
        <v>2.0</v>
      </c>
      <c r="E128" s="3" t="s">
        <v>13</v>
      </c>
      <c r="F128" s="3">
        <v>270.0</v>
      </c>
      <c r="G128" s="3">
        <v>320.0</v>
      </c>
      <c r="H128" s="4">
        <f t="shared" si="1"/>
        <v>640</v>
      </c>
      <c r="I128" s="4">
        <f t="shared" si="2"/>
        <v>100</v>
      </c>
      <c r="J128" s="4">
        <f t="shared" si="3"/>
        <v>15.625</v>
      </c>
    </row>
    <row r="129" ht="15.75" customHeight="1">
      <c r="A129" s="3" t="s">
        <v>63</v>
      </c>
      <c r="B129" s="3" t="s">
        <v>11</v>
      </c>
      <c r="C129" s="3" t="s">
        <v>12</v>
      </c>
      <c r="D129" s="3">
        <v>1.0</v>
      </c>
      <c r="E129" s="3" t="s">
        <v>13</v>
      </c>
      <c r="F129" s="3">
        <v>270.0</v>
      </c>
      <c r="G129" s="3">
        <v>340.0</v>
      </c>
      <c r="H129" s="4">
        <f t="shared" si="1"/>
        <v>340</v>
      </c>
      <c r="I129" s="4">
        <f t="shared" si="2"/>
        <v>70</v>
      </c>
      <c r="J129" s="4">
        <f t="shared" si="3"/>
        <v>20.58823529</v>
      </c>
    </row>
    <row r="130" ht="15.75" customHeight="1">
      <c r="A130" s="10">
        <v>45666.0</v>
      </c>
      <c r="B130" s="3" t="s">
        <v>42</v>
      </c>
      <c r="C130" s="3" t="s">
        <v>43</v>
      </c>
      <c r="D130" s="3">
        <v>4.0</v>
      </c>
      <c r="E130" s="3" t="s">
        <v>19</v>
      </c>
      <c r="F130" s="3">
        <v>360.0</v>
      </c>
      <c r="G130" s="3">
        <v>400.0</v>
      </c>
      <c r="H130" s="4">
        <f t="shared" si="1"/>
        <v>1600</v>
      </c>
      <c r="I130" s="4">
        <f t="shared" si="2"/>
        <v>160</v>
      </c>
      <c r="J130" s="4">
        <f t="shared" si="3"/>
        <v>10</v>
      </c>
    </row>
    <row r="131" ht="15.75" customHeight="1">
      <c r="A131" s="3" t="s">
        <v>64</v>
      </c>
      <c r="B131" s="3" t="s">
        <v>15</v>
      </c>
      <c r="C131" s="3" t="s">
        <v>12</v>
      </c>
      <c r="D131" s="3">
        <v>3.0</v>
      </c>
      <c r="E131" s="3" t="s">
        <v>13</v>
      </c>
      <c r="F131" s="3">
        <v>270.0</v>
      </c>
      <c r="G131" s="3">
        <v>320.0</v>
      </c>
      <c r="H131" s="4">
        <f t="shared" si="1"/>
        <v>960</v>
      </c>
      <c r="I131" s="4">
        <f t="shared" si="2"/>
        <v>150</v>
      </c>
      <c r="J131" s="4">
        <f t="shared" si="3"/>
        <v>15.625</v>
      </c>
    </row>
    <row r="132" ht="15.75" customHeight="1">
      <c r="A132" s="3" t="s">
        <v>64</v>
      </c>
      <c r="B132" s="3" t="s">
        <v>24</v>
      </c>
      <c r="C132" s="3" t="s">
        <v>25</v>
      </c>
      <c r="D132" s="3">
        <v>71.0</v>
      </c>
      <c r="E132" s="3" t="s">
        <v>23</v>
      </c>
      <c r="F132" s="3">
        <v>51.0</v>
      </c>
      <c r="G132" s="3">
        <v>55.0</v>
      </c>
      <c r="H132" s="4">
        <f t="shared" si="1"/>
        <v>3905</v>
      </c>
      <c r="I132" s="4">
        <f t="shared" si="2"/>
        <v>284</v>
      </c>
      <c r="J132" s="4">
        <f t="shared" si="3"/>
        <v>7.272727273</v>
      </c>
    </row>
    <row r="133" ht="15.75" customHeight="1">
      <c r="A133" s="3" t="s">
        <v>64</v>
      </c>
      <c r="B133" s="3" t="s">
        <v>29</v>
      </c>
      <c r="C133" s="3" t="s">
        <v>29</v>
      </c>
      <c r="D133" s="3">
        <v>5.0</v>
      </c>
      <c r="E133" s="3" t="s">
        <v>27</v>
      </c>
      <c r="F133" s="3">
        <v>240.0</v>
      </c>
      <c r="G133" s="3">
        <v>280.0</v>
      </c>
      <c r="H133" s="4">
        <f t="shared" si="1"/>
        <v>1400</v>
      </c>
      <c r="I133" s="4">
        <f t="shared" si="2"/>
        <v>200</v>
      </c>
      <c r="J133" s="4">
        <f t="shared" si="3"/>
        <v>14.28571429</v>
      </c>
    </row>
    <row r="134" ht="15.75" customHeight="1">
      <c r="A134" s="3" t="s">
        <v>64</v>
      </c>
      <c r="B134" s="3" t="s">
        <v>32</v>
      </c>
      <c r="C134" s="3" t="s">
        <v>25</v>
      </c>
      <c r="D134" s="3">
        <v>51.0</v>
      </c>
      <c r="E134" s="3" t="s">
        <v>23</v>
      </c>
      <c r="F134" s="3">
        <v>52.0</v>
      </c>
      <c r="G134" s="3">
        <v>55.0</v>
      </c>
      <c r="H134" s="4">
        <f t="shared" si="1"/>
        <v>2805</v>
      </c>
      <c r="I134" s="4">
        <f t="shared" si="2"/>
        <v>153</v>
      </c>
      <c r="J134" s="4">
        <f t="shared" si="3"/>
        <v>5.454545455</v>
      </c>
    </row>
    <row r="135" ht="15.75" customHeight="1">
      <c r="A135" s="3" t="s">
        <v>65</v>
      </c>
      <c r="B135" s="3" t="s">
        <v>14</v>
      </c>
      <c r="C135" s="3" t="s">
        <v>12</v>
      </c>
      <c r="D135" s="3">
        <v>4.0</v>
      </c>
      <c r="E135" s="3" t="s">
        <v>13</v>
      </c>
      <c r="F135" s="3">
        <v>290.0</v>
      </c>
      <c r="G135" s="3">
        <v>350.0</v>
      </c>
      <c r="H135" s="4">
        <f t="shared" si="1"/>
        <v>1400</v>
      </c>
      <c r="I135" s="4">
        <f t="shared" si="2"/>
        <v>240</v>
      </c>
      <c r="J135" s="4">
        <f t="shared" si="3"/>
        <v>17.14285714</v>
      </c>
    </row>
    <row r="136" ht="15.75" customHeight="1">
      <c r="A136" s="3" t="s">
        <v>65</v>
      </c>
      <c r="B136" s="3" t="s">
        <v>15</v>
      </c>
      <c r="C136" s="3" t="s">
        <v>12</v>
      </c>
      <c r="D136" s="3">
        <v>4.0</v>
      </c>
      <c r="E136" s="3" t="s">
        <v>13</v>
      </c>
      <c r="F136" s="3">
        <v>270.0</v>
      </c>
      <c r="G136" s="3">
        <v>320.0</v>
      </c>
      <c r="H136" s="4">
        <f t="shared" si="1"/>
        <v>1280</v>
      </c>
      <c r="I136" s="4">
        <f t="shared" si="2"/>
        <v>200</v>
      </c>
      <c r="J136" s="4">
        <f t="shared" si="3"/>
        <v>15.625</v>
      </c>
    </row>
    <row r="137" ht="15.75" customHeight="1">
      <c r="A137" s="3" t="s">
        <v>66</v>
      </c>
      <c r="B137" s="3" t="s">
        <v>32</v>
      </c>
      <c r="C137" s="3" t="s">
        <v>25</v>
      </c>
      <c r="D137" s="3">
        <v>51.0</v>
      </c>
      <c r="E137" s="3" t="s">
        <v>23</v>
      </c>
      <c r="F137" s="3">
        <v>52.0</v>
      </c>
      <c r="G137" s="3">
        <v>55.0</v>
      </c>
      <c r="H137" s="4">
        <f t="shared" si="1"/>
        <v>2805</v>
      </c>
      <c r="I137" s="4">
        <f t="shared" si="2"/>
        <v>153</v>
      </c>
      <c r="J137" s="4">
        <f t="shared" si="3"/>
        <v>5.454545455</v>
      </c>
    </row>
    <row r="138" ht="15.75" customHeight="1">
      <c r="A138" s="3" t="s">
        <v>66</v>
      </c>
      <c r="B138" s="3" t="s">
        <v>26</v>
      </c>
      <c r="C138" s="3" t="s">
        <v>26</v>
      </c>
      <c r="D138" s="3">
        <v>5.0</v>
      </c>
      <c r="E138" s="3" t="s">
        <v>27</v>
      </c>
      <c r="F138" s="3">
        <v>180.0</v>
      </c>
      <c r="G138" s="3">
        <v>220.0</v>
      </c>
      <c r="H138" s="4">
        <f t="shared" si="1"/>
        <v>1100</v>
      </c>
      <c r="I138" s="4">
        <f t="shared" si="2"/>
        <v>200</v>
      </c>
      <c r="J138" s="4">
        <f t="shared" si="3"/>
        <v>18.18181818</v>
      </c>
    </row>
    <row r="139" ht="15.75" customHeight="1">
      <c r="A139" s="3" t="s">
        <v>66</v>
      </c>
      <c r="B139" s="3" t="s">
        <v>14</v>
      </c>
      <c r="C139" s="3" t="s">
        <v>12</v>
      </c>
      <c r="D139" s="3">
        <v>12.0</v>
      </c>
      <c r="E139" s="3" t="s">
        <v>13</v>
      </c>
      <c r="F139" s="3">
        <v>290.0</v>
      </c>
      <c r="G139" s="3">
        <v>350.0</v>
      </c>
      <c r="H139" s="4">
        <f t="shared" si="1"/>
        <v>4200</v>
      </c>
      <c r="I139" s="4">
        <f t="shared" si="2"/>
        <v>720</v>
      </c>
      <c r="J139" s="4">
        <f t="shared" si="3"/>
        <v>17.14285714</v>
      </c>
    </row>
    <row r="140" ht="15.75" customHeight="1">
      <c r="A140" s="3" t="s">
        <v>66</v>
      </c>
      <c r="B140" s="3" t="s">
        <v>24</v>
      </c>
      <c r="C140" s="3" t="s">
        <v>25</v>
      </c>
      <c r="D140" s="3">
        <v>142.0</v>
      </c>
      <c r="E140" s="3" t="s">
        <v>23</v>
      </c>
      <c r="F140" s="3">
        <v>51.0</v>
      </c>
      <c r="G140" s="3">
        <v>55.0</v>
      </c>
      <c r="H140" s="4">
        <f t="shared" si="1"/>
        <v>7810</v>
      </c>
      <c r="I140" s="4">
        <f t="shared" si="2"/>
        <v>568</v>
      </c>
      <c r="J140" s="4">
        <f t="shared" si="3"/>
        <v>7.272727273</v>
      </c>
    </row>
    <row r="141" ht="15.75" customHeight="1">
      <c r="A141" s="3" t="s">
        <v>66</v>
      </c>
      <c r="B141" s="3" t="s">
        <v>20</v>
      </c>
      <c r="C141" s="3" t="s">
        <v>18</v>
      </c>
      <c r="D141" s="3">
        <v>200.0</v>
      </c>
      <c r="E141" s="3" t="s">
        <v>19</v>
      </c>
      <c r="F141" s="3">
        <v>9.0</v>
      </c>
      <c r="G141" s="3">
        <v>10.0</v>
      </c>
      <c r="H141" s="4">
        <f t="shared" si="1"/>
        <v>2000</v>
      </c>
      <c r="I141" s="4">
        <f t="shared" si="2"/>
        <v>200</v>
      </c>
      <c r="J141" s="4">
        <f t="shared" si="3"/>
        <v>10</v>
      </c>
    </row>
    <row r="142" ht="15.75" customHeight="1">
      <c r="A142" s="3" t="s">
        <v>67</v>
      </c>
      <c r="B142" s="3" t="s">
        <v>30</v>
      </c>
      <c r="C142" s="3" t="s">
        <v>18</v>
      </c>
      <c r="D142" s="3">
        <v>150.0</v>
      </c>
      <c r="E142" s="3" t="s">
        <v>19</v>
      </c>
      <c r="F142" s="3">
        <v>8.0</v>
      </c>
      <c r="G142" s="3">
        <v>12.0</v>
      </c>
      <c r="H142" s="4">
        <f t="shared" si="1"/>
        <v>1800</v>
      </c>
      <c r="I142" s="4">
        <f t="shared" si="2"/>
        <v>600</v>
      </c>
      <c r="J142" s="4">
        <f t="shared" si="3"/>
        <v>33.33333333</v>
      </c>
    </row>
    <row r="143" ht="15.75" customHeight="1">
      <c r="A143" s="3" t="s">
        <v>67</v>
      </c>
      <c r="B143" s="3" t="s">
        <v>21</v>
      </c>
      <c r="C143" s="3" t="s">
        <v>22</v>
      </c>
      <c r="D143" s="3">
        <v>10.0</v>
      </c>
      <c r="E143" s="3" t="s">
        <v>23</v>
      </c>
      <c r="F143" s="3">
        <v>70.0</v>
      </c>
      <c r="G143" s="3">
        <v>76.0</v>
      </c>
      <c r="H143" s="4">
        <f t="shared" si="1"/>
        <v>760</v>
      </c>
      <c r="I143" s="4">
        <f t="shared" si="2"/>
        <v>60</v>
      </c>
      <c r="J143" s="4">
        <f t="shared" si="3"/>
        <v>7.894736842</v>
      </c>
    </row>
    <row r="144" ht="15.75" customHeight="1">
      <c r="A144" s="3" t="s">
        <v>67</v>
      </c>
      <c r="B144" s="3" t="s">
        <v>29</v>
      </c>
      <c r="C144" s="3" t="s">
        <v>29</v>
      </c>
      <c r="D144" s="3">
        <v>5.0</v>
      </c>
      <c r="E144" s="3" t="s">
        <v>27</v>
      </c>
      <c r="F144" s="3">
        <v>240.0</v>
      </c>
      <c r="G144" s="3">
        <v>280.0</v>
      </c>
      <c r="H144" s="4">
        <f t="shared" si="1"/>
        <v>1400</v>
      </c>
      <c r="I144" s="4">
        <f t="shared" si="2"/>
        <v>200</v>
      </c>
      <c r="J144" s="4">
        <f t="shared" si="3"/>
        <v>14.28571429</v>
      </c>
    </row>
    <row r="145" ht="15.75" customHeight="1">
      <c r="A145" s="3" t="s">
        <v>67</v>
      </c>
      <c r="B145" s="3" t="s">
        <v>15</v>
      </c>
      <c r="C145" s="3" t="s">
        <v>12</v>
      </c>
      <c r="D145" s="3">
        <v>1.0</v>
      </c>
      <c r="E145" s="3" t="s">
        <v>13</v>
      </c>
      <c r="F145" s="3">
        <v>270.0</v>
      </c>
      <c r="G145" s="3">
        <v>320.0</v>
      </c>
      <c r="H145" s="4">
        <f t="shared" si="1"/>
        <v>320</v>
      </c>
      <c r="I145" s="4">
        <f t="shared" si="2"/>
        <v>50</v>
      </c>
      <c r="J145" s="4">
        <f t="shared" si="3"/>
        <v>15.625</v>
      </c>
    </row>
    <row r="146" ht="15.75" customHeight="1">
      <c r="A146" s="3" t="s">
        <v>67</v>
      </c>
      <c r="B146" s="3" t="s">
        <v>17</v>
      </c>
      <c r="C146" s="3" t="s">
        <v>18</v>
      </c>
      <c r="D146" s="3">
        <v>25.0</v>
      </c>
      <c r="E146" s="3" t="s">
        <v>19</v>
      </c>
      <c r="F146" s="3">
        <v>8.0</v>
      </c>
      <c r="G146" s="3">
        <v>12.0</v>
      </c>
      <c r="H146" s="4">
        <f t="shared" si="1"/>
        <v>300</v>
      </c>
      <c r="I146" s="4">
        <f t="shared" si="2"/>
        <v>100</v>
      </c>
      <c r="J146" s="4">
        <f t="shared" si="3"/>
        <v>33.33333333</v>
      </c>
    </row>
    <row r="147" ht="15.75" customHeight="1">
      <c r="A147" s="3" t="s">
        <v>67</v>
      </c>
      <c r="B147" s="3" t="s">
        <v>20</v>
      </c>
      <c r="C147" s="3" t="s">
        <v>18</v>
      </c>
      <c r="D147" s="3">
        <v>10.0</v>
      </c>
      <c r="E147" s="3" t="s">
        <v>19</v>
      </c>
      <c r="F147" s="3">
        <v>9.0</v>
      </c>
      <c r="G147" s="3">
        <v>10.0</v>
      </c>
      <c r="H147" s="4">
        <f t="shared" si="1"/>
        <v>100</v>
      </c>
      <c r="I147" s="4">
        <f t="shared" si="2"/>
        <v>10</v>
      </c>
      <c r="J147" s="4">
        <f t="shared" si="3"/>
        <v>10</v>
      </c>
    </row>
    <row r="148" ht="15.75" customHeight="1">
      <c r="A148" s="3" t="s">
        <v>68</v>
      </c>
      <c r="B148" s="3" t="s">
        <v>21</v>
      </c>
      <c r="C148" s="3" t="s">
        <v>22</v>
      </c>
      <c r="D148" s="3">
        <v>10.0</v>
      </c>
      <c r="E148" s="3" t="s">
        <v>23</v>
      </c>
      <c r="F148" s="3">
        <v>70.0</v>
      </c>
      <c r="G148" s="3">
        <v>76.0</v>
      </c>
      <c r="H148" s="4">
        <f t="shared" si="1"/>
        <v>760</v>
      </c>
      <c r="I148" s="4">
        <f t="shared" si="2"/>
        <v>60</v>
      </c>
      <c r="J148" s="4">
        <f t="shared" si="3"/>
        <v>7.894736842</v>
      </c>
    </row>
    <row r="149" ht="15.75" customHeight="1">
      <c r="A149" s="3" t="s">
        <v>68</v>
      </c>
      <c r="B149" s="3" t="s">
        <v>11</v>
      </c>
      <c r="C149" s="3" t="s">
        <v>12</v>
      </c>
      <c r="D149" s="3">
        <v>2.0</v>
      </c>
      <c r="E149" s="3" t="s">
        <v>13</v>
      </c>
      <c r="F149" s="3">
        <v>270.0</v>
      </c>
      <c r="G149" s="3">
        <v>340.0</v>
      </c>
      <c r="H149" s="4">
        <f t="shared" si="1"/>
        <v>680</v>
      </c>
      <c r="I149" s="4">
        <f t="shared" si="2"/>
        <v>140</v>
      </c>
      <c r="J149" s="4">
        <f t="shared" si="3"/>
        <v>20.58823529</v>
      </c>
    </row>
    <row r="150" ht="15.75" customHeight="1">
      <c r="A150" s="3" t="s">
        <v>68</v>
      </c>
      <c r="B150" s="3" t="s">
        <v>15</v>
      </c>
      <c r="C150" s="3" t="s">
        <v>12</v>
      </c>
      <c r="D150" s="3">
        <v>10.0</v>
      </c>
      <c r="E150" s="3" t="s">
        <v>13</v>
      </c>
      <c r="F150" s="3">
        <v>270.0</v>
      </c>
      <c r="G150" s="3">
        <v>320.0</v>
      </c>
      <c r="H150" s="4">
        <f t="shared" si="1"/>
        <v>3200</v>
      </c>
      <c r="I150" s="4">
        <f t="shared" si="2"/>
        <v>500</v>
      </c>
      <c r="J150" s="4">
        <f t="shared" si="3"/>
        <v>15.625</v>
      </c>
    </row>
    <row r="151" ht="15.75" customHeight="1">
      <c r="A151" s="3" t="s">
        <v>68</v>
      </c>
      <c r="B151" s="3" t="s">
        <v>32</v>
      </c>
      <c r="C151" s="3" t="s">
        <v>25</v>
      </c>
      <c r="D151" s="3">
        <v>51.0</v>
      </c>
      <c r="E151" s="3" t="s">
        <v>23</v>
      </c>
      <c r="F151" s="3">
        <v>52.0</v>
      </c>
      <c r="G151" s="3">
        <v>55.0</v>
      </c>
      <c r="H151" s="4">
        <f t="shared" si="1"/>
        <v>2805</v>
      </c>
      <c r="I151" s="4">
        <f t="shared" si="2"/>
        <v>153</v>
      </c>
      <c r="J151" s="4">
        <f t="shared" si="3"/>
        <v>5.454545455</v>
      </c>
    </row>
    <row r="152" ht="15.75" customHeight="1">
      <c r="A152" s="3" t="s">
        <v>69</v>
      </c>
      <c r="B152" s="3" t="s">
        <v>29</v>
      </c>
      <c r="C152" s="3" t="s">
        <v>29</v>
      </c>
      <c r="D152" s="3">
        <v>10.0</v>
      </c>
      <c r="E152" s="3" t="s">
        <v>27</v>
      </c>
      <c r="F152" s="3">
        <v>240.0</v>
      </c>
      <c r="G152" s="3">
        <v>280.0</v>
      </c>
      <c r="H152" s="4">
        <f t="shared" si="1"/>
        <v>2800</v>
      </c>
      <c r="I152" s="4">
        <f t="shared" si="2"/>
        <v>400</v>
      </c>
      <c r="J152" s="4">
        <f t="shared" si="3"/>
        <v>14.28571429</v>
      </c>
    </row>
    <row r="153" ht="15.75" customHeight="1">
      <c r="A153" s="3" t="s">
        <v>69</v>
      </c>
      <c r="B153" s="3" t="s">
        <v>26</v>
      </c>
      <c r="C153" s="3" t="s">
        <v>26</v>
      </c>
      <c r="D153" s="3">
        <v>5.0</v>
      </c>
      <c r="E153" s="3" t="s">
        <v>27</v>
      </c>
      <c r="F153" s="3">
        <v>180.0</v>
      </c>
      <c r="G153" s="3">
        <v>220.0</v>
      </c>
      <c r="H153" s="4">
        <f t="shared" si="1"/>
        <v>1100</v>
      </c>
      <c r="I153" s="4">
        <f t="shared" si="2"/>
        <v>200</v>
      </c>
      <c r="J153" s="4">
        <f t="shared" si="3"/>
        <v>18.18181818</v>
      </c>
    </row>
    <row r="154" ht="15.75" customHeight="1">
      <c r="A154" s="3" t="s">
        <v>69</v>
      </c>
      <c r="B154" s="3" t="s">
        <v>24</v>
      </c>
      <c r="C154" s="3" t="s">
        <v>25</v>
      </c>
      <c r="D154" s="3">
        <v>142.0</v>
      </c>
      <c r="E154" s="3" t="s">
        <v>23</v>
      </c>
      <c r="F154" s="3">
        <v>52.0</v>
      </c>
      <c r="G154" s="3">
        <v>55.0</v>
      </c>
      <c r="H154" s="4">
        <f t="shared" si="1"/>
        <v>7810</v>
      </c>
      <c r="I154" s="4">
        <f t="shared" si="2"/>
        <v>426</v>
      </c>
      <c r="J154" s="4">
        <f t="shared" si="3"/>
        <v>5.454545455</v>
      </c>
    </row>
    <row r="155" ht="15.75" customHeight="1">
      <c r="A155" s="3" t="s">
        <v>69</v>
      </c>
      <c r="B155" s="3" t="s">
        <v>14</v>
      </c>
      <c r="C155" s="3" t="s">
        <v>12</v>
      </c>
      <c r="D155" s="3">
        <v>2.0</v>
      </c>
      <c r="E155" s="3" t="s">
        <v>13</v>
      </c>
      <c r="F155" s="3">
        <v>290.0</v>
      </c>
      <c r="G155" s="3">
        <v>350.0</v>
      </c>
      <c r="H155" s="4">
        <f t="shared" si="1"/>
        <v>700</v>
      </c>
      <c r="I155" s="4">
        <f t="shared" si="2"/>
        <v>120</v>
      </c>
      <c r="J155" s="4">
        <f t="shared" si="3"/>
        <v>17.14285714</v>
      </c>
    </row>
    <row r="156" ht="15.75" customHeight="1">
      <c r="A156" s="3" t="s">
        <v>70</v>
      </c>
      <c r="B156" s="3" t="s">
        <v>20</v>
      </c>
      <c r="C156" s="3" t="s">
        <v>18</v>
      </c>
      <c r="D156" s="3">
        <v>100.0</v>
      </c>
      <c r="E156" s="3" t="s">
        <v>19</v>
      </c>
      <c r="F156" s="3">
        <v>9.0</v>
      </c>
      <c r="G156" s="3">
        <v>10.0</v>
      </c>
      <c r="H156" s="4">
        <f t="shared" si="1"/>
        <v>1000</v>
      </c>
      <c r="I156" s="4">
        <f t="shared" si="2"/>
        <v>100</v>
      </c>
      <c r="J156" s="4">
        <f t="shared" si="3"/>
        <v>10</v>
      </c>
    </row>
    <row r="157" ht="15.75" customHeight="1">
      <c r="A157" s="3" t="s">
        <v>70</v>
      </c>
      <c r="B157" s="3" t="s">
        <v>11</v>
      </c>
      <c r="C157" s="3" t="s">
        <v>12</v>
      </c>
      <c r="D157" s="3">
        <v>3.0</v>
      </c>
      <c r="E157" s="3" t="s">
        <v>13</v>
      </c>
      <c r="F157" s="3">
        <v>270.0</v>
      </c>
      <c r="G157" s="3">
        <v>340.0</v>
      </c>
      <c r="H157" s="4">
        <f t="shared" si="1"/>
        <v>1020</v>
      </c>
      <c r="I157" s="4">
        <f t="shared" si="2"/>
        <v>210</v>
      </c>
      <c r="J157" s="4">
        <f t="shared" si="3"/>
        <v>20.58823529</v>
      </c>
    </row>
    <row r="158" ht="15.75" customHeight="1">
      <c r="A158" s="3" t="s">
        <v>70</v>
      </c>
      <c r="B158" s="3" t="s">
        <v>17</v>
      </c>
      <c r="C158" s="3" t="s">
        <v>18</v>
      </c>
      <c r="D158" s="3">
        <v>40.0</v>
      </c>
      <c r="E158" s="3" t="s">
        <v>19</v>
      </c>
      <c r="F158" s="3">
        <v>8.0</v>
      </c>
      <c r="G158" s="3">
        <v>12.0</v>
      </c>
      <c r="H158" s="4">
        <f t="shared" si="1"/>
        <v>480</v>
      </c>
      <c r="I158" s="4">
        <f t="shared" si="2"/>
        <v>160</v>
      </c>
      <c r="J158" s="4">
        <f t="shared" si="3"/>
        <v>33.33333333</v>
      </c>
    </row>
    <row r="159" ht="15.75" customHeight="1">
      <c r="A159" s="3" t="s">
        <v>71</v>
      </c>
      <c r="B159" s="3" t="s">
        <v>15</v>
      </c>
      <c r="C159" s="3" t="s">
        <v>12</v>
      </c>
      <c r="D159" s="3">
        <v>12.0</v>
      </c>
      <c r="E159" s="3" t="s">
        <v>13</v>
      </c>
      <c r="F159" s="3">
        <v>270.0</v>
      </c>
      <c r="G159" s="3">
        <v>320.0</v>
      </c>
      <c r="H159" s="4">
        <f t="shared" si="1"/>
        <v>3840</v>
      </c>
      <c r="I159" s="4">
        <f t="shared" si="2"/>
        <v>600</v>
      </c>
      <c r="J159" s="4">
        <f t="shared" si="3"/>
        <v>15.625</v>
      </c>
    </row>
    <row r="160" ht="15.75" customHeight="1">
      <c r="A160" s="3" t="s">
        <v>71</v>
      </c>
      <c r="B160" s="3" t="s">
        <v>30</v>
      </c>
      <c r="C160" s="3" t="s">
        <v>18</v>
      </c>
      <c r="D160" s="3">
        <v>15.0</v>
      </c>
      <c r="E160" s="3" t="s">
        <v>19</v>
      </c>
      <c r="F160" s="3">
        <v>8.0</v>
      </c>
      <c r="G160" s="3">
        <v>12.0</v>
      </c>
      <c r="H160" s="4">
        <f t="shared" si="1"/>
        <v>180</v>
      </c>
      <c r="I160" s="4">
        <f t="shared" si="2"/>
        <v>60</v>
      </c>
      <c r="J160" s="4">
        <f t="shared" si="3"/>
        <v>33.33333333</v>
      </c>
    </row>
    <row r="161" ht="15.75" customHeight="1">
      <c r="A161" s="3" t="s">
        <v>71</v>
      </c>
      <c r="B161" s="3" t="s">
        <v>14</v>
      </c>
      <c r="C161" s="3" t="s">
        <v>12</v>
      </c>
      <c r="D161" s="3">
        <v>3.0</v>
      </c>
      <c r="E161" s="3" t="s">
        <v>13</v>
      </c>
      <c r="F161" s="3">
        <v>290.0</v>
      </c>
      <c r="G161" s="3">
        <v>350.0</v>
      </c>
      <c r="H161" s="4">
        <f t="shared" si="1"/>
        <v>1050</v>
      </c>
      <c r="I161" s="4">
        <f t="shared" si="2"/>
        <v>180</v>
      </c>
      <c r="J161" s="4">
        <f t="shared" si="3"/>
        <v>17.14285714</v>
      </c>
    </row>
    <row r="162" ht="15.75" customHeight="1">
      <c r="A162" s="3" t="s">
        <v>71</v>
      </c>
      <c r="B162" s="3" t="s">
        <v>26</v>
      </c>
      <c r="C162" s="3" t="s">
        <v>26</v>
      </c>
      <c r="D162" s="3">
        <v>10.0</v>
      </c>
      <c r="E162" s="3" t="s">
        <v>27</v>
      </c>
      <c r="F162" s="3">
        <v>180.0</v>
      </c>
      <c r="G162" s="3">
        <v>220.0</v>
      </c>
      <c r="H162" s="4">
        <f t="shared" si="1"/>
        <v>2200</v>
      </c>
      <c r="I162" s="4">
        <f t="shared" si="2"/>
        <v>400</v>
      </c>
      <c r="J162" s="4">
        <f t="shared" si="3"/>
        <v>18.18181818</v>
      </c>
    </row>
    <row r="163" ht="15.75" customHeight="1">
      <c r="A163" s="3" t="s">
        <v>71</v>
      </c>
      <c r="B163" s="3" t="s">
        <v>32</v>
      </c>
      <c r="C163" s="3" t="s">
        <v>25</v>
      </c>
      <c r="D163" s="3">
        <v>51.0</v>
      </c>
      <c r="E163" s="3" t="s">
        <v>23</v>
      </c>
      <c r="F163" s="3">
        <v>52.0</v>
      </c>
      <c r="G163" s="3">
        <v>55.0</v>
      </c>
      <c r="H163" s="4">
        <f t="shared" si="1"/>
        <v>2805</v>
      </c>
      <c r="I163" s="4">
        <f t="shared" si="2"/>
        <v>153</v>
      </c>
      <c r="J163" s="4">
        <f t="shared" si="3"/>
        <v>5.454545455</v>
      </c>
    </row>
    <row r="164" ht="15.75" customHeight="1">
      <c r="A164" s="3" t="s">
        <v>72</v>
      </c>
      <c r="B164" s="3" t="s">
        <v>32</v>
      </c>
      <c r="C164" s="3" t="s">
        <v>25</v>
      </c>
      <c r="D164" s="3">
        <v>153.0</v>
      </c>
      <c r="E164" s="3" t="s">
        <v>23</v>
      </c>
      <c r="F164" s="3">
        <v>52.0</v>
      </c>
      <c r="G164" s="3">
        <v>55.0</v>
      </c>
      <c r="H164" s="4">
        <f t="shared" si="1"/>
        <v>8415</v>
      </c>
      <c r="I164" s="4">
        <f t="shared" si="2"/>
        <v>459</v>
      </c>
      <c r="J164" s="4">
        <f t="shared" si="3"/>
        <v>5.454545455</v>
      </c>
    </row>
    <row r="165" ht="15.75" customHeight="1">
      <c r="A165" s="3" t="s">
        <v>72</v>
      </c>
      <c r="B165" s="3" t="s">
        <v>29</v>
      </c>
      <c r="C165" s="3" t="s">
        <v>29</v>
      </c>
      <c r="D165" s="3">
        <v>5.0</v>
      </c>
      <c r="E165" s="3" t="s">
        <v>27</v>
      </c>
      <c r="F165" s="3">
        <v>240.0</v>
      </c>
      <c r="G165" s="3">
        <v>280.0</v>
      </c>
      <c r="H165" s="4">
        <f t="shared" si="1"/>
        <v>1400</v>
      </c>
      <c r="I165" s="4">
        <f t="shared" si="2"/>
        <v>200</v>
      </c>
      <c r="J165" s="4">
        <f t="shared" si="3"/>
        <v>14.28571429</v>
      </c>
    </row>
    <row r="166" ht="15.75" customHeight="1">
      <c r="A166" s="3" t="s">
        <v>72</v>
      </c>
      <c r="B166" s="3" t="s">
        <v>17</v>
      </c>
      <c r="C166" s="3" t="s">
        <v>18</v>
      </c>
      <c r="D166" s="3">
        <v>20.0</v>
      </c>
      <c r="E166" s="3" t="s">
        <v>19</v>
      </c>
      <c r="F166" s="3">
        <v>8.0</v>
      </c>
      <c r="G166" s="3">
        <v>12.0</v>
      </c>
      <c r="H166" s="4">
        <f t="shared" si="1"/>
        <v>240</v>
      </c>
      <c r="I166" s="4">
        <f t="shared" si="2"/>
        <v>80</v>
      </c>
      <c r="J166" s="4">
        <f t="shared" si="3"/>
        <v>33.33333333</v>
      </c>
    </row>
    <row r="167" ht="15.75" customHeight="1">
      <c r="A167" s="3" t="s">
        <v>72</v>
      </c>
      <c r="B167" s="3" t="s">
        <v>14</v>
      </c>
      <c r="C167" s="3" t="s">
        <v>12</v>
      </c>
      <c r="D167" s="3">
        <v>3.0</v>
      </c>
      <c r="E167" s="3" t="s">
        <v>13</v>
      </c>
      <c r="F167" s="3">
        <v>290.0</v>
      </c>
      <c r="G167" s="3">
        <v>350.0</v>
      </c>
      <c r="H167" s="4">
        <f t="shared" si="1"/>
        <v>1050</v>
      </c>
      <c r="I167" s="4">
        <f t="shared" si="2"/>
        <v>180</v>
      </c>
      <c r="J167" s="4">
        <f t="shared" si="3"/>
        <v>17.14285714</v>
      </c>
    </row>
    <row r="168" ht="15.75" customHeight="1">
      <c r="A168" s="3" t="s">
        <v>72</v>
      </c>
      <c r="B168" s="3" t="s">
        <v>15</v>
      </c>
      <c r="C168" s="3" t="s">
        <v>12</v>
      </c>
      <c r="D168" s="3">
        <v>12.0</v>
      </c>
      <c r="E168" s="3" t="s">
        <v>13</v>
      </c>
      <c r="F168" s="3">
        <v>270.0</v>
      </c>
      <c r="G168" s="3">
        <v>320.0</v>
      </c>
      <c r="H168" s="4">
        <f t="shared" si="1"/>
        <v>3840</v>
      </c>
      <c r="I168" s="4">
        <f t="shared" si="2"/>
        <v>600</v>
      </c>
      <c r="J168" s="4">
        <f t="shared" si="3"/>
        <v>15.625</v>
      </c>
    </row>
    <row r="169" ht="15.75" customHeight="1">
      <c r="A169" s="3" t="s">
        <v>73</v>
      </c>
      <c r="B169" s="3" t="s">
        <v>11</v>
      </c>
      <c r="C169" s="3" t="s">
        <v>12</v>
      </c>
      <c r="D169" s="3">
        <v>12.0</v>
      </c>
      <c r="E169" s="3" t="s">
        <v>13</v>
      </c>
      <c r="F169" s="3">
        <v>270.0</v>
      </c>
      <c r="G169" s="3">
        <v>340.0</v>
      </c>
      <c r="H169" s="4">
        <f t="shared" si="1"/>
        <v>4080</v>
      </c>
      <c r="I169" s="4">
        <f t="shared" si="2"/>
        <v>840</v>
      </c>
      <c r="J169" s="4">
        <f t="shared" si="3"/>
        <v>20.58823529</v>
      </c>
    </row>
    <row r="170" ht="15.75" customHeight="1">
      <c r="A170" s="3" t="s">
        <v>73</v>
      </c>
      <c r="B170" s="3" t="s">
        <v>15</v>
      </c>
      <c r="C170" s="3" t="s">
        <v>12</v>
      </c>
      <c r="D170" s="3">
        <v>40.0</v>
      </c>
      <c r="E170" s="3" t="s">
        <v>13</v>
      </c>
      <c r="F170" s="3">
        <v>270.0</v>
      </c>
      <c r="G170" s="3">
        <v>320.0</v>
      </c>
      <c r="H170" s="4">
        <f t="shared" si="1"/>
        <v>12800</v>
      </c>
      <c r="I170" s="4">
        <f t="shared" si="2"/>
        <v>2000</v>
      </c>
      <c r="J170" s="4">
        <f t="shared" si="3"/>
        <v>15.625</v>
      </c>
    </row>
    <row r="171" ht="15.75" customHeight="1">
      <c r="A171" s="3" t="s">
        <v>73</v>
      </c>
      <c r="B171" s="3" t="s">
        <v>29</v>
      </c>
      <c r="C171" s="3" t="s">
        <v>29</v>
      </c>
      <c r="D171" s="3">
        <v>10.0</v>
      </c>
      <c r="E171" s="3" t="s">
        <v>27</v>
      </c>
      <c r="F171" s="3">
        <v>240.0</v>
      </c>
      <c r="G171" s="3">
        <v>280.0</v>
      </c>
      <c r="H171" s="4">
        <f t="shared" si="1"/>
        <v>2800</v>
      </c>
      <c r="I171" s="4">
        <f t="shared" si="2"/>
        <v>400</v>
      </c>
      <c r="J171" s="4">
        <f t="shared" si="3"/>
        <v>14.28571429</v>
      </c>
    </row>
    <row r="172" ht="15.75" customHeight="1">
      <c r="A172" s="3" t="s">
        <v>73</v>
      </c>
      <c r="B172" s="3" t="s">
        <v>24</v>
      </c>
      <c r="C172" s="3" t="s">
        <v>25</v>
      </c>
      <c r="D172" s="3">
        <v>71.0</v>
      </c>
      <c r="E172" s="3" t="s">
        <v>23</v>
      </c>
      <c r="F172" s="3">
        <v>52.0</v>
      </c>
      <c r="G172" s="3">
        <v>55.0</v>
      </c>
      <c r="H172" s="4">
        <f t="shared" si="1"/>
        <v>3905</v>
      </c>
      <c r="I172" s="4">
        <f t="shared" si="2"/>
        <v>213</v>
      </c>
      <c r="J172" s="4">
        <f t="shared" si="3"/>
        <v>5.454545455</v>
      </c>
    </row>
    <row r="173" ht="15.75" customHeight="1">
      <c r="A173" s="3" t="s">
        <v>73</v>
      </c>
      <c r="B173" s="3" t="s">
        <v>32</v>
      </c>
      <c r="C173" s="3" t="s">
        <v>25</v>
      </c>
      <c r="D173" s="3">
        <v>102.0</v>
      </c>
      <c r="E173" s="3" t="s">
        <v>23</v>
      </c>
      <c r="F173" s="3">
        <v>52.0</v>
      </c>
      <c r="G173" s="3">
        <v>55.0</v>
      </c>
      <c r="H173" s="4">
        <f t="shared" si="1"/>
        <v>5610</v>
      </c>
      <c r="I173" s="4">
        <f t="shared" si="2"/>
        <v>306</v>
      </c>
      <c r="J173" s="4">
        <f t="shared" si="3"/>
        <v>5.454545455</v>
      </c>
    </row>
    <row r="174" ht="15.75" customHeight="1">
      <c r="A174" s="10">
        <v>45970.0</v>
      </c>
      <c r="B174" s="3" t="s">
        <v>21</v>
      </c>
      <c r="C174" s="3" t="s">
        <v>22</v>
      </c>
      <c r="D174" s="3">
        <v>5.0</v>
      </c>
      <c r="E174" s="3" t="s">
        <v>23</v>
      </c>
      <c r="F174" s="3">
        <v>70.0</v>
      </c>
      <c r="G174" s="3">
        <v>76.0</v>
      </c>
      <c r="H174" s="4">
        <f t="shared" si="1"/>
        <v>380</v>
      </c>
      <c r="I174" s="4">
        <f t="shared" si="2"/>
        <v>30</v>
      </c>
      <c r="J174" s="4">
        <f t="shared" si="3"/>
        <v>7.894736842</v>
      </c>
    </row>
    <row r="175" ht="15.75" customHeight="1">
      <c r="A175" s="3" t="s">
        <v>74</v>
      </c>
      <c r="B175" s="3" t="s">
        <v>40</v>
      </c>
      <c r="C175" s="3" t="s">
        <v>12</v>
      </c>
      <c r="D175" s="3">
        <v>20.0</v>
      </c>
      <c r="E175" s="3" t="s">
        <v>13</v>
      </c>
      <c r="F175" s="3">
        <v>360.0</v>
      </c>
      <c r="G175" s="3">
        <v>410.0</v>
      </c>
      <c r="H175" s="4">
        <f t="shared" si="1"/>
        <v>8200</v>
      </c>
      <c r="I175" s="4">
        <f t="shared" si="2"/>
        <v>1000</v>
      </c>
      <c r="J175" s="4">
        <f t="shared" si="3"/>
        <v>12.19512195</v>
      </c>
    </row>
    <row r="176" ht="15.75" customHeight="1">
      <c r="A176" s="3" t="s">
        <v>74</v>
      </c>
      <c r="B176" s="3" t="s">
        <v>26</v>
      </c>
      <c r="C176" s="3" t="s">
        <v>26</v>
      </c>
      <c r="D176" s="3">
        <v>2.0</v>
      </c>
      <c r="E176" s="3" t="s">
        <v>27</v>
      </c>
      <c r="F176" s="3">
        <v>180.0</v>
      </c>
      <c r="G176" s="3">
        <v>220.0</v>
      </c>
      <c r="H176" s="4">
        <f t="shared" si="1"/>
        <v>440</v>
      </c>
      <c r="I176" s="4">
        <f t="shared" si="2"/>
        <v>80</v>
      </c>
      <c r="J176" s="4">
        <f t="shared" si="3"/>
        <v>18.18181818</v>
      </c>
    </row>
    <row r="177" ht="15.75" customHeight="1">
      <c r="A177" s="3" t="s">
        <v>74</v>
      </c>
      <c r="B177" s="3" t="s">
        <v>32</v>
      </c>
      <c r="C177" s="3" t="s">
        <v>25</v>
      </c>
      <c r="D177" s="3">
        <v>51.0</v>
      </c>
      <c r="E177" s="3" t="s">
        <v>23</v>
      </c>
      <c r="F177" s="3">
        <v>52.0</v>
      </c>
      <c r="G177" s="3">
        <v>55.0</v>
      </c>
      <c r="H177" s="4">
        <f t="shared" si="1"/>
        <v>2805</v>
      </c>
      <c r="I177" s="4">
        <f t="shared" si="2"/>
        <v>153</v>
      </c>
      <c r="J177" s="4">
        <f t="shared" si="3"/>
        <v>5.454545455</v>
      </c>
    </row>
    <row r="178" ht="15.75" customHeight="1">
      <c r="A178" s="3" t="s">
        <v>74</v>
      </c>
      <c r="B178" s="3" t="s">
        <v>17</v>
      </c>
      <c r="C178" s="3" t="s">
        <v>18</v>
      </c>
      <c r="D178" s="3">
        <v>25.0</v>
      </c>
      <c r="E178" s="3" t="s">
        <v>19</v>
      </c>
      <c r="F178" s="3">
        <v>8.0</v>
      </c>
      <c r="G178" s="3">
        <v>12.0</v>
      </c>
      <c r="H178" s="4">
        <f t="shared" si="1"/>
        <v>300</v>
      </c>
      <c r="I178" s="4">
        <f t="shared" si="2"/>
        <v>100</v>
      </c>
      <c r="J178" s="4">
        <f t="shared" si="3"/>
        <v>33.33333333</v>
      </c>
    </row>
    <row r="179" ht="15.75" customHeight="1">
      <c r="A179" s="3" t="s">
        <v>74</v>
      </c>
      <c r="B179" s="3" t="s">
        <v>15</v>
      </c>
      <c r="C179" s="3" t="s">
        <v>12</v>
      </c>
      <c r="D179" s="3">
        <v>2.0</v>
      </c>
      <c r="E179" s="3" t="s">
        <v>13</v>
      </c>
      <c r="F179" s="3">
        <v>270.0</v>
      </c>
      <c r="G179" s="3">
        <v>320.0</v>
      </c>
      <c r="H179" s="4">
        <f t="shared" si="1"/>
        <v>640</v>
      </c>
      <c r="I179" s="4">
        <f t="shared" si="2"/>
        <v>100</v>
      </c>
      <c r="J179" s="4">
        <f t="shared" si="3"/>
        <v>15.625</v>
      </c>
    </row>
    <row r="180" ht="15.75" customHeight="1">
      <c r="A180" s="3" t="s">
        <v>74</v>
      </c>
      <c r="B180" s="3" t="s">
        <v>11</v>
      </c>
      <c r="C180" s="3" t="s">
        <v>12</v>
      </c>
      <c r="D180" s="3">
        <v>10.0</v>
      </c>
      <c r="E180" s="3" t="s">
        <v>13</v>
      </c>
      <c r="F180" s="3">
        <v>270.0</v>
      </c>
      <c r="G180" s="3">
        <v>340.0</v>
      </c>
      <c r="H180" s="4">
        <f t="shared" si="1"/>
        <v>3400</v>
      </c>
      <c r="I180" s="4">
        <f t="shared" si="2"/>
        <v>700</v>
      </c>
      <c r="J180" s="4">
        <f t="shared" si="3"/>
        <v>20.58823529</v>
      </c>
    </row>
    <row r="181" ht="15.75" customHeight="1">
      <c r="A181" s="3" t="s">
        <v>75</v>
      </c>
      <c r="B181" s="3" t="s">
        <v>20</v>
      </c>
      <c r="C181" s="3" t="s">
        <v>18</v>
      </c>
      <c r="D181" s="3">
        <v>25.0</v>
      </c>
      <c r="E181" s="3" t="s">
        <v>19</v>
      </c>
      <c r="F181" s="3">
        <v>9.0</v>
      </c>
      <c r="G181" s="3">
        <v>10.0</v>
      </c>
      <c r="H181" s="4">
        <f t="shared" si="1"/>
        <v>250</v>
      </c>
      <c r="I181" s="4">
        <f t="shared" si="2"/>
        <v>25</v>
      </c>
      <c r="J181" s="4">
        <f t="shared" si="3"/>
        <v>10</v>
      </c>
    </row>
    <row r="182" ht="15.75" customHeight="1">
      <c r="A182" s="3" t="s">
        <v>75</v>
      </c>
      <c r="B182" s="3" t="s">
        <v>32</v>
      </c>
      <c r="C182" s="3" t="s">
        <v>25</v>
      </c>
      <c r="D182" s="3">
        <v>204.0</v>
      </c>
      <c r="E182" s="3" t="s">
        <v>23</v>
      </c>
      <c r="F182" s="3">
        <v>52.0</v>
      </c>
      <c r="G182" s="3">
        <v>55.0</v>
      </c>
      <c r="H182" s="4">
        <f t="shared" si="1"/>
        <v>11220</v>
      </c>
      <c r="I182" s="4">
        <f t="shared" si="2"/>
        <v>612</v>
      </c>
      <c r="J182" s="4">
        <f t="shared" si="3"/>
        <v>5.454545455</v>
      </c>
    </row>
    <row r="183" ht="15.75" customHeight="1">
      <c r="A183" s="3" t="s">
        <v>75</v>
      </c>
      <c r="B183" s="3" t="s">
        <v>17</v>
      </c>
      <c r="C183" s="3" t="s">
        <v>18</v>
      </c>
      <c r="D183" s="3">
        <v>160.0</v>
      </c>
      <c r="E183" s="3" t="s">
        <v>19</v>
      </c>
      <c r="F183" s="3">
        <v>8.0</v>
      </c>
      <c r="G183" s="3">
        <v>12.0</v>
      </c>
      <c r="H183" s="4">
        <f t="shared" si="1"/>
        <v>1920</v>
      </c>
      <c r="I183" s="4">
        <f t="shared" si="2"/>
        <v>640</v>
      </c>
      <c r="J183" s="4">
        <f t="shared" si="3"/>
        <v>33.33333333</v>
      </c>
    </row>
    <row r="184" ht="15.75" customHeight="1">
      <c r="A184" s="3" t="s">
        <v>75</v>
      </c>
      <c r="B184" s="3" t="s">
        <v>29</v>
      </c>
      <c r="C184" s="3" t="s">
        <v>29</v>
      </c>
      <c r="D184" s="3">
        <v>10.0</v>
      </c>
      <c r="E184" s="3" t="s">
        <v>27</v>
      </c>
      <c r="F184" s="3">
        <v>240.0</v>
      </c>
      <c r="G184" s="3">
        <v>280.0</v>
      </c>
      <c r="H184" s="4">
        <f t="shared" si="1"/>
        <v>2800</v>
      </c>
      <c r="I184" s="4">
        <f t="shared" si="2"/>
        <v>400</v>
      </c>
      <c r="J184" s="4">
        <f t="shared" si="3"/>
        <v>14.28571429</v>
      </c>
    </row>
    <row r="185" ht="15.75" customHeight="1">
      <c r="A185" s="3" t="s">
        <v>76</v>
      </c>
      <c r="B185" s="3" t="s">
        <v>14</v>
      </c>
      <c r="C185" s="3" t="s">
        <v>12</v>
      </c>
      <c r="D185" s="3">
        <v>2.0</v>
      </c>
      <c r="E185" s="3" t="s">
        <v>13</v>
      </c>
      <c r="F185" s="3">
        <v>290.0</v>
      </c>
      <c r="G185" s="3">
        <v>350.0</v>
      </c>
      <c r="H185" s="4">
        <f t="shared" si="1"/>
        <v>700</v>
      </c>
      <c r="I185" s="4">
        <f t="shared" si="2"/>
        <v>120</v>
      </c>
      <c r="J185" s="4">
        <f t="shared" si="3"/>
        <v>17.14285714</v>
      </c>
    </row>
    <row r="186" ht="15.75" customHeight="1">
      <c r="A186" s="3" t="s">
        <v>76</v>
      </c>
      <c r="B186" s="3" t="s">
        <v>32</v>
      </c>
      <c r="C186" s="3" t="s">
        <v>25</v>
      </c>
      <c r="D186" s="3">
        <v>102.0</v>
      </c>
      <c r="E186" s="3" t="s">
        <v>23</v>
      </c>
      <c r="F186" s="3">
        <v>52.0</v>
      </c>
      <c r="G186" s="3">
        <v>55.0</v>
      </c>
      <c r="H186" s="4">
        <f t="shared" si="1"/>
        <v>5610</v>
      </c>
      <c r="I186" s="4">
        <f t="shared" si="2"/>
        <v>306</v>
      </c>
      <c r="J186" s="4">
        <f t="shared" si="3"/>
        <v>5.454545455</v>
      </c>
    </row>
    <row r="187" ht="15.75" customHeight="1">
      <c r="A187" s="3" t="s">
        <v>77</v>
      </c>
      <c r="B187" s="3" t="s">
        <v>30</v>
      </c>
      <c r="C187" s="3" t="s">
        <v>18</v>
      </c>
      <c r="D187" s="3">
        <v>120.0</v>
      </c>
      <c r="E187" s="3" t="s">
        <v>19</v>
      </c>
      <c r="F187" s="3">
        <v>8.0</v>
      </c>
      <c r="G187" s="3">
        <v>12.0</v>
      </c>
      <c r="H187" s="4">
        <f t="shared" si="1"/>
        <v>1440</v>
      </c>
      <c r="I187" s="4">
        <f t="shared" si="2"/>
        <v>480</v>
      </c>
      <c r="J187" s="4">
        <f t="shared" si="3"/>
        <v>33.33333333</v>
      </c>
    </row>
    <row r="188" ht="15.75" customHeight="1">
      <c r="A188" s="3" t="s">
        <v>77</v>
      </c>
      <c r="B188" s="3" t="s">
        <v>14</v>
      </c>
      <c r="C188" s="3" t="s">
        <v>12</v>
      </c>
      <c r="D188" s="3">
        <v>2.0</v>
      </c>
      <c r="E188" s="3" t="s">
        <v>13</v>
      </c>
      <c r="F188" s="3">
        <v>290.0</v>
      </c>
      <c r="G188" s="3">
        <v>350.0</v>
      </c>
      <c r="H188" s="4">
        <f t="shared" si="1"/>
        <v>700</v>
      </c>
      <c r="I188" s="4">
        <f t="shared" si="2"/>
        <v>120</v>
      </c>
      <c r="J188" s="4">
        <f t="shared" si="3"/>
        <v>17.14285714</v>
      </c>
    </row>
    <row r="189" ht="15.75" customHeight="1">
      <c r="A189" s="3" t="s">
        <v>77</v>
      </c>
      <c r="B189" s="3" t="s">
        <v>26</v>
      </c>
      <c r="C189" s="3" t="s">
        <v>26</v>
      </c>
      <c r="D189" s="3">
        <v>5.0</v>
      </c>
      <c r="E189" s="3" t="s">
        <v>27</v>
      </c>
      <c r="F189" s="3">
        <v>180.0</v>
      </c>
      <c r="G189" s="3">
        <v>220.0</v>
      </c>
      <c r="H189" s="4">
        <f t="shared" si="1"/>
        <v>1100</v>
      </c>
      <c r="I189" s="4">
        <f t="shared" si="2"/>
        <v>200</v>
      </c>
      <c r="J189" s="4">
        <f t="shared" si="3"/>
        <v>18.18181818</v>
      </c>
    </row>
    <row r="190" ht="15.75" customHeight="1">
      <c r="A190" s="3" t="s">
        <v>77</v>
      </c>
      <c r="B190" s="3" t="s">
        <v>15</v>
      </c>
      <c r="C190" s="3" t="s">
        <v>12</v>
      </c>
      <c r="D190" s="3">
        <v>1.0</v>
      </c>
      <c r="E190" s="3" t="s">
        <v>13</v>
      </c>
      <c r="F190" s="3">
        <v>270.0</v>
      </c>
      <c r="G190" s="3">
        <v>320.0</v>
      </c>
      <c r="H190" s="4">
        <f t="shared" si="1"/>
        <v>320</v>
      </c>
      <c r="I190" s="4">
        <f t="shared" si="2"/>
        <v>50</v>
      </c>
      <c r="J190" s="4">
        <f t="shared" si="3"/>
        <v>15.625</v>
      </c>
    </row>
    <row r="191" ht="15.75" customHeight="1">
      <c r="A191" s="3" t="s">
        <v>78</v>
      </c>
      <c r="B191" s="3" t="s">
        <v>17</v>
      </c>
      <c r="C191" s="3" t="s">
        <v>18</v>
      </c>
      <c r="D191" s="3">
        <v>220.0</v>
      </c>
      <c r="E191" s="3" t="s">
        <v>19</v>
      </c>
      <c r="F191" s="3">
        <v>8.0</v>
      </c>
      <c r="G191" s="3">
        <v>12.0</v>
      </c>
      <c r="H191" s="4">
        <f t="shared" si="1"/>
        <v>2640</v>
      </c>
      <c r="I191" s="4">
        <f t="shared" si="2"/>
        <v>880</v>
      </c>
      <c r="J191" s="4">
        <f t="shared" si="3"/>
        <v>33.33333333</v>
      </c>
    </row>
    <row r="192" ht="15.75" customHeight="1">
      <c r="A192" s="3" t="s">
        <v>78</v>
      </c>
      <c r="B192" s="3" t="s">
        <v>15</v>
      </c>
      <c r="C192" s="3" t="s">
        <v>12</v>
      </c>
      <c r="D192" s="3">
        <v>12.0</v>
      </c>
      <c r="E192" s="3" t="s">
        <v>13</v>
      </c>
      <c r="F192" s="3">
        <v>270.0</v>
      </c>
      <c r="G192" s="3">
        <v>320.0</v>
      </c>
      <c r="H192" s="4">
        <f t="shared" si="1"/>
        <v>3840</v>
      </c>
      <c r="I192" s="4">
        <f t="shared" si="2"/>
        <v>600</v>
      </c>
      <c r="J192" s="4">
        <f t="shared" si="3"/>
        <v>15.625</v>
      </c>
    </row>
    <row r="193" ht="15.75" customHeight="1">
      <c r="A193" s="3" t="s">
        <v>78</v>
      </c>
      <c r="B193" s="3" t="s">
        <v>20</v>
      </c>
      <c r="C193" s="3" t="s">
        <v>18</v>
      </c>
      <c r="D193" s="3">
        <v>160.0</v>
      </c>
      <c r="E193" s="3" t="s">
        <v>19</v>
      </c>
      <c r="F193" s="3">
        <v>9.0</v>
      </c>
      <c r="G193" s="3">
        <v>10.0</v>
      </c>
      <c r="H193" s="4">
        <f t="shared" si="1"/>
        <v>1600</v>
      </c>
      <c r="I193" s="4">
        <f t="shared" si="2"/>
        <v>160</v>
      </c>
      <c r="J193" s="4">
        <f t="shared" si="3"/>
        <v>10</v>
      </c>
    </row>
    <row r="194" ht="15.75" customHeight="1">
      <c r="A194" s="3" t="s">
        <v>79</v>
      </c>
      <c r="B194" s="3" t="s">
        <v>24</v>
      </c>
      <c r="C194" s="3" t="s">
        <v>25</v>
      </c>
      <c r="D194" s="3">
        <v>285.0</v>
      </c>
      <c r="E194" s="3" t="s">
        <v>23</v>
      </c>
      <c r="F194" s="3">
        <v>52.0</v>
      </c>
      <c r="G194" s="3">
        <v>55.0</v>
      </c>
      <c r="H194" s="4">
        <f t="shared" si="1"/>
        <v>15675</v>
      </c>
      <c r="I194" s="4">
        <f t="shared" si="2"/>
        <v>855</v>
      </c>
      <c r="J194" s="4">
        <f t="shared" si="3"/>
        <v>5.454545455</v>
      </c>
    </row>
    <row r="195" ht="15.75" customHeight="1">
      <c r="A195" s="3" t="s">
        <v>79</v>
      </c>
      <c r="B195" s="3" t="s">
        <v>14</v>
      </c>
      <c r="C195" s="3" t="s">
        <v>12</v>
      </c>
      <c r="D195" s="3">
        <v>2.0</v>
      </c>
      <c r="E195" s="3" t="s">
        <v>13</v>
      </c>
      <c r="F195" s="3">
        <v>290.0</v>
      </c>
      <c r="G195" s="3">
        <v>350.0</v>
      </c>
      <c r="H195" s="4">
        <f t="shared" si="1"/>
        <v>700</v>
      </c>
      <c r="I195" s="4">
        <f t="shared" si="2"/>
        <v>120</v>
      </c>
      <c r="J195" s="4">
        <f t="shared" si="3"/>
        <v>17.14285714</v>
      </c>
    </row>
    <row r="196" ht="15.75" customHeight="1">
      <c r="A196" s="3" t="s">
        <v>79</v>
      </c>
      <c r="B196" s="3" t="s">
        <v>15</v>
      </c>
      <c r="C196" s="3" t="s">
        <v>12</v>
      </c>
      <c r="D196" s="3">
        <v>30.0</v>
      </c>
      <c r="E196" s="3" t="s">
        <v>13</v>
      </c>
      <c r="F196" s="3">
        <v>270.0</v>
      </c>
      <c r="G196" s="3">
        <v>320.0</v>
      </c>
      <c r="H196" s="4">
        <f t="shared" si="1"/>
        <v>9600</v>
      </c>
      <c r="I196" s="4">
        <f t="shared" si="2"/>
        <v>1500</v>
      </c>
      <c r="J196" s="4">
        <f t="shared" si="3"/>
        <v>15.625</v>
      </c>
    </row>
    <row r="197" ht="15.75" customHeight="1">
      <c r="A197" s="3" t="s">
        <v>80</v>
      </c>
      <c r="B197" s="3" t="s">
        <v>24</v>
      </c>
      <c r="C197" s="3" t="s">
        <v>25</v>
      </c>
      <c r="D197" s="3">
        <v>72.0</v>
      </c>
      <c r="E197" s="3" t="s">
        <v>23</v>
      </c>
      <c r="F197" s="3">
        <v>52.0</v>
      </c>
      <c r="G197" s="3">
        <v>55.0</v>
      </c>
      <c r="H197" s="4">
        <f t="shared" si="1"/>
        <v>3960</v>
      </c>
      <c r="I197" s="4">
        <f t="shared" si="2"/>
        <v>216</v>
      </c>
      <c r="J197" s="4">
        <f t="shared" si="3"/>
        <v>5.454545455</v>
      </c>
    </row>
    <row r="198" ht="15.75" customHeight="1">
      <c r="A198" s="3" t="s">
        <v>80</v>
      </c>
      <c r="B198" s="3" t="s">
        <v>20</v>
      </c>
      <c r="C198" s="3" t="s">
        <v>18</v>
      </c>
      <c r="D198" s="3">
        <v>55.0</v>
      </c>
      <c r="E198" s="3" t="s">
        <v>19</v>
      </c>
      <c r="F198" s="3">
        <v>8.0</v>
      </c>
      <c r="G198" s="3">
        <v>9.0</v>
      </c>
      <c r="H198" s="4">
        <f t="shared" si="1"/>
        <v>495</v>
      </c>
      <c r="I198" s="4">
        <f t="shared" si="2"/>
        <v>55</v>
      </c>
      <c r="J198" s="4">
        <f t="shared" si="3"/>
        <v>11.11111111</v>
      </c>
    </row>
    <row r="199" ht="15.75" customHeight="1">
      <c r="A199" s="3" t="s">
        <v>80</v>
      </c>
      <c r="B199" s="3" t="s">
        <v>29</v>
      </c>
      <c r="C199" s="3" t="s">
        <v>29</v>
      </c>
      <c r="D199" s="3">
        <v>5.0</v>
      </c>
      <c r="E199" s="3" t="s">
        <v>27</v>
      </c>
      <c r="F199" s="3">
        <v>240.0</v>
      </c>
      <c r="G199" s="3">
        <v>280.0</v>
      </c>
      <c r="H199" s="4">
        <f t="shared" si="1"/>
        <v>1400</v>
      </c>
      <c r="I199" s="4">
        <f t="shared" si="2"/>
        <v>200</v>
      </c>
      <c r="J199" s="4">
        <f t="shared" si="3"/>
        <v>14.28571429</v>
      </c>
    </row>
    <row r="200" ht="15.75" customHeight="1">
      <c r="A200" s="3" t="s">
        <v>80</v>
      </c>
      <c r="B200" s="3" t="s">
        <v>40</v>
      </c>
      <c r="C200" s="3" t="s">
        <v>12</v>
      </c>
      <c r="D200" s="3">
        <v>12.0</v>
      </c>
      <c r="E200" s="3" t="s">
        <v>13</v>
      </c>
      <c r="F200" s="3">
        <v>360.0</v>
      </c>
      <c r="G200" s="3">
        <v>410.0</v>
      </c>
      <c r="H200" s="4">
        <f t="shared" si="1"/>
        <v>4920</v>
      </c>
      <c r="I200" s="4">
        <f t="shared" si="2"/>
        <v>600</v>
      </c>
      <c r="J200" s="4">
        <f t="shared" si="3"/>
        <v>12.19512195</v>
      </c>
    </row>
    <row r="201" ht="15.75" customHeight="1">
      <c r="A201" s="3" t="s">
        <v>80</v>
      </c>
      <c r="B201" s="3" t="s">
        <v>14</v>
      </c>
      <c r="C201" s="3" t="s">
        <v>12</v>
      </c>
      <c r="D201" s="3">
        <v>2.0</v>
      </c>
      <c r="E201" s="3" t="s">
        <v>13</v>
      </c>
      <c r="F201" s="3">
        <v>290.0</v>
      </c>
      <c r="G201" s="3">
        <v>350.0</v>
      </c>
      <c r="H201" s="4">
        <f t="shared" si="1"/>
        <v>700</v>
      </c>
      <c r="I201" s="4">
        <f t="shared" si="2"/>
        <v>120</v>
      </c>
      <c r="J201" s="4">
        <f t="shared" si="3"/>
        <v>17.14285714</v>
      </c>
    </row>
    <row r="202" ht="15.75" customHeight="1">
      <c r="A202" s="3" t="s">
        <v>81</v>
      </c>
      <c r="B202" s="3" t="s">
        <v>15</v>
      </c>
      <c r="C202" s="3" t="s">
        <v>12</v>
      </c>
      <c r="D202" s="3">
        <v>40.0</v>
      </c>
      <c r="E202" s="3" t="s">
        <v>13</v>
      </c>
      <c r="F202" s="3">
        <v>270.0</v>
      </c>
      <c r="G202" s="3">
        <v>320.0</v>
      </c>
      <c r="H202" s="4">
        <f t="shared" si="1"/>
        <v>12800</v>
      </c>
      <c r="I202" s="4">
        <f t="shared" si="2"/>
        <v>2000</v>
      </c>
      <c r="J202" s="4">
        <f t="shared" si="3"/>
        <v>15.625</v>
      </c>
    </row>
    <row r="203" ht="15.75" customHeight="1">
      <c r="A203" s="3" t="s">
        <v>81</v>
      </c>
      <c r="B203" s="3" t="s">
        <v>42</v>
      </c>
      <c r="C203" s="3" t="s">
        <v>43</v>
      </c>
      <c r="D203" s="3">
        <v>2.0</v>
      </c>
      <c r="E203" s="3" t="s">
        <v>19</v>
      </c>
      <c r="F203" s="3">
        <v>360.0</v>
      </c>
      <c r="G203" s="3">
        <v>400.0</v>
      </c>
      <c r="H203" s="4">
        <f t="shared" si="1"/>
        <v>800</v>
      </c>
      <c r="I203" s="4">
        <f t="shared" si="2"/>
        <v>80</v>
      </c>
      <c r="J203" s="4">
        <f t="shared" si="3"/>
        <v>10</v>
      </c>
    </row>
    <row r="204" ht="15.75" customHeight="1">
      <c r="A204" s="3" t="s">
        <v>81</v>
      </c>
      <c r="B204" s="3" t="s">
        <v>17</v>
      </c>
      <c r="C204" s="3" t="s">
        <v>18</v>
      </c>
      <c r="D204" s="3">
        <v>50.0</v>
      </c>
      <c r="E204" s="3" t="s">
        <v>19</v>
      </c>
      <c r="F204" s="3">
        <v>8.0</v>
      </c>
      <c r="G204" s="3">
        <v>12.0</v>
      </c>
      <c r="H204" s="4">
        <f t="shared" si="1"/>
        <v>600</v>
      </c>
      <c r="I204" s="4">
        <f t="shared" si="2"/>
        <v>200</v>
      </c>
      <c r="J204" s="4">
        <f t="shared" si="3"/>
        <v>33.33333333</v>
      </c>
    </row>
    <row r="205" ht="15.75" customHeight="1">
      <c r="A205" s="3" t="s">
        <v>81</v>
      </c>
      <c r="B205" s="3" t="s">
        <v>30</v>
      </c>
      <c r="C205" s="3" t="s">
        <v>18</v>
      </c>
      <c r="D205" s="3">
        <v>25.0</v>
      </c>
      <c r="E205" s="3" t="s">
        <v>19</v>
      </c>
      <c r="F205" s="3">
        <v>8.0</v>
      </c>
      <c r="G205" s="3">
        <v>12.0</v>
      </c>
      <c r="H205" s="4">
        <f t="shared" si="1"/>
        <v>300</v>
      </c>
      <c r="I205" s="4">
        <f t="shared" si="2"/>
        <v>100</v>
      </c>
      <c r="J205" s="4">
        <f t="shared" si="3"/>
        <v>33.33333333</v>
      </c>
    </row>
    <row r="206" ht="15.75" customHeight="1">
      <c r="A206" s="3" t="s">
        <v>81</v>
      </c>
      <c r="B206" s="3" t="s">
        <v>14</v>
      </c>
      <c r="C206" s="3" t="s">
        <v>12</v>
      </c>
      <c r="D206" s="3">
        <v>10.0</v>
      </c>
      <c r="E206" s="3" t="s">
        <v>13</v>
      </c>
      <c r="F206" s="3">
        <v>290.0</v>
      </c>
      <c r="G206" s="3">
        <v>350.0</v>
      </c>
      <c r="H206" s="4">
        <f t="shared" si="1"/>
        <v>3500</v>
      </c>
      <c r="I206" s="4">
        <f t="shared" si="2"/>
        <v>600</v>
      </c>
      <c r="J206" s="4">
        <f t="shared" si="3"/>
        <v>17.14285714</v>
      </c>
    </row>
    <row r="207" ht="15.75" customHeight="1">
      <c r="A207" s="3" t="s">
        <v>82</v>
      </c>
      <c r="B207" s="3" t="s">
        <v>11</v>
      </c>
      <c r="C207" s="3" t="s">
        <v>12</v>
      </c>
      <c r="D207" s="3">
        <v>30.0</v>
      </c>
      <c r="E207" s="3" t="s">
        <v>13</v>
      </c>
      <c r="F207" s="3">
        <v>270.0</v>
      </c>
      <c r="G207" s="3">
        <v>340.0</v>
      </c>
      <c r="H207" s="4">
        <f t="shared" si="1"/>
        <v>10200</v>
      </c>
      <c r="I207" s="4">
        <f t="shared" si="2"/>
        <v>2100</v>
      </c>
      <c r="J207" s="4">
        <f t="shared" si="3"/>
        <v>20.58823529</v>
      </c>
    </row>
    <row r="208" ht="15.75" customHeight="1">
      <c r="A208" s="3" t="s">
        <v>82</v>
      </c>
      <c r="B208" s="3" t="s">
        <v>26</v>
      </c>
      <c r="C208" s="3" t="s">
        <v>26</v>
      </c>
      <c r="D208" s="3">
        <v>10.0</v>
      </c>
      <c r="E208" s="3" t="s">
        <v>27</v>
      </c>
      <c r="F208" s="3">
        <v>180.0</v>
      </c>
      <c r="G208" s="3">
        <v>220.0</v>
      </c>
      <c r="H208" s="4">
        <f t="shared" si="1"/>
        <v>2200</v>
      </c>
      <c r="I208" s="4">
        <f t="shared" si="2"/>
        <v>400</v>
      </c>
      <c r="J208" s="4">
        <f t="shared" si="3"/>
        <v>18.18181818</v>
      </c>
    </row>
    <row r="209" ht="15.75" customHeight="1">
      <c r="A209" s="3" t="s">
        <v>83</v>
      </c>
      <c r="B209" s="3" t="s">
        <v>26</v>
      </c>
      <c r="C209" s="3" t="s">
        <v>26</v>
      </c>
      <c r="D209" s="3">
        <v>10.0</v>
      </c>
      <c r="E209" s="3" t="s">
        <v>27</v>
      </c>
      <c r="F209" s="3">
        <v>180.0</v>
      </c>
      <c r="G209" s="3">
        <v>220.0</v>
      </c>
      <c r="H209" s="4">
        <f t="shared" si="1"/>
        <v>2200</v>
      </c>
      <c r="I209" s="4">
        <f t="shared" si="2"/>
        <v>400</v>
      </c>
      <c r="J209" s="4">
        <f t="shared" si="3"/>
        <v>18.18181818</v>
      </c>
    </row>
    <row r="210" ht="15.75" customHeight="1">
      <c r="A210" s="3" t="s">
        <v>83</v>
      </c>
      <c r="B210" s="3" t="s">
        <v>11</v>
      </c>
      <c r="C210" s="3" t="s">
        <v>12</v>
      </c>
      <c r="D210" s="3">
        <v>2.0</v>
      </c>
      <c r="E210" s="3" t="s">
        <v>13</v>
      </c>
      <c r="F210" s="3">
        <v>270.0</v>
      </c>
      <c r="G210" s="3">
        <v>340.0</v>
      </c>
      <c r="H210" s="4">
        <f t="shared" si="1"/>
        <v>680</v>
      </c>
      <c r="I210" s="4">
        <f t="shared" si="2"/>
        <v>140</v>
      </c>
      <c r="J210" s="4">
        <f t="shared" si="3"/>
        <v>20.58823529</v>
      </c>
    </row>
    <row r="211" ht="15.75" customHeight="1">
      <c r="A211" s="3" t="s">
        <v>83</v>
      </c>
      <c r="B211" s="3" t="s">
        <v>30</v>
      </c>
      <c r="C211" s="3" t="s">
        <v>18</v>
      </c>
      <c r="D211" s="3">
        <v>60.0</v>
      </c>
      <c r="E211" s="3" t="s">
        <v>19</v>
      </c>
      <c r="F211" s="3">
        <v>8.0</v>
      </c>
      <c r="G211" s="3">
        <v>12.0</v>
      </c>
      <c r="H211" s="4">
        <f t="shared" si="1"/>
        <v>720</v>
      </c>
      <c r="I211" s="4">
        <f t="shared" si="2"/>
        <v>240</v>
      </c>
      <c r="J211" s="4">
        <f t="shared" si="3"/>
        <v>33.33333333</v>
      </c>
    </row>
    <row r="212" ht="15.75" customHeight="1">
      <c r="A212" s="3" t="s">
        <v>83</v>
      </c>
      <c r="B212" s="3" t="s">
        <v>14</v>
      </c>
      <c r="C212" s="3" t="s">
        <v>12</v>
      </c>
      <c r="D212" s="3">
        <v>20.0</v>
      </c>
      <c r="E212" s="3" t="s">
        <v>13</v>
      </c>
      <c r="F212" s="3">
        <v>290.0</v>
      </c>
      <c r="G212" s="3">
        <v>350.0</v>
      </c>
      <c r="H212" s="4">
        <f t="shared" si="1"/>
        <v>7000</v>
      </c>
      <c r="I212" s="4">
        <f t="shared" si="2"/>
        <v>1200</v>
      </c>
      <c r="J212" s="4">
        <f t="shared" si="3"/>
        <v>17.14285714</v>
      </c>
    </row>
    <row r="213" ht="15.75" customHeight="1">
      <c r="A213" s="3" t="s">
        <v>83</v>
      </c>
      <c r="B213" s="3" t="s">
        <v>40</v>
      </c>
      <c r="C213" s="3" t="s">
        <v>12</v>
      </c>
      <c r="D213" s="3">
        <v>4.0</v>
      </c>
      <c r="E213" s="3" t="s">
        <v>13</v>
      </c>
      <c r="F213" s="3">
        <v>360.0</v>
      </c>
      <c r="G213" s="3">
        <v>410.0</v>
      </c>
      <c r="H213" s="4">
        <f t="shared" si="1"/>
        <v>1640</v>
      </c>
      <c r="I213" s="4">
        <f t="shared" si="2"/>
        <v>200</v>
      </c>
      <c r="J213" s="4">
        <f t="shared" si="3"/>
        <v>12.19512195</v>
      </c>
    </row>
    <row r="214" ht="15.75" customHeight="1">
      <c r="A214" s="3" t="s">
        <v>84</v>
      </c>
      <c r="B214" s="3" t="s">
        <v>14</v>
      </c>
      <c r="C214" s="3" t="s">
        <v>12</v>
      </c>
      <c r="D214" s="3">
        <v>30.0</v>
      </c>
      <c r="E214" s="3" t="s">
        <v>13</v>
      </c>
      <c r="F214" s="3">
        <v>290.0</v>
      </c>
      <c r="G214" s="3">
        <v>350.0</v>
      </c>
      <c r="H214" s="4">
        <f t="shared" si="1"/>
        <v>10500</v>
      </c>
      <c r="I214" s="4">
        <f t="shared" si="2"/>
        <v>1800</v>
      </c>
      <c r="J214" s="4">
        <f t="shared" si="3"/>
        <v>17.14285714</v>
      </c>
    </row>
    <row r="215" ht="15.75" customHeight="1">
      <c r="A215" s="3" t="s">
        <v>84</v>
      </c>
      <c r="B215" s="3" t="s">
        <v>15</v>
      </c>
      <c r="C215" s="3" t="s">
        <v>12</v>
      </c>
      <c r="D215" s="3">
        <v>6.0</v>
      </c>
      <c r="E215" s="3" t="s">
        <v>13</v>
      </c>
      <c r="F215" s="3">
        <v>270.0</v>
      </c>
      <c r="G215" s="3">
        <v>320.0</v>
      </c>
      <c r="H215" s="4">
        <f t="shared" si="1"/>
        <v>1920</v>
      </c>
      <c r="I215" s="4">
        <f t="shared" si="2"/>
        <v>300</v>
      </c>
      <c r="J215" s="4">
        <f t="shared" si="3"/>
        <v>15.625</v>
      </c>
    </row>
    <row r="216" ht="15.75" customHeight="1">
      <c r="A216" s="3" t="s">
        <v>84</v>
      </c>
      <c r="B216" s="3" t="s">
        <v>30</v>
      </c>
      <c r="C216" s="3" t="s">
        <v>18</v>
      </c>
      <c r="D216" s="3">
        <v>20.0</v>
      </c>
      <c r="E216" s="3" t="s">
        <v>19</v>
      </c>
      <c r="F216" s="3">
        <v>8.0</v>
      </c>
      <c r="G216" s="3">
        <v>12.0</v>
      </c>
      <c r="H216" s="4">
        <f t="shared" si="1"/>
        <v>240</v>
      </c>
      <c r="I216" s="4">
        <f t="shared" si="2"/>
        <v>80</v>
      </c>
      <c r="J216" s="4">
        <f t="shared" si="3"/>
        <v>33.33333333</v>
      </c>
    </row>
    <row r="217" ht="15.75" customHeight="1">
      <c r="A217" s="3" t="s">
        <v>84</v>
      </c>
      <c r="B217" s="3" t="s">
        <v>85</v>
      </c>
      <c r="C217" s="3" t="s">
        <v>25</v>
      </c>
      <c r="D217" s="3">
        <v>46.0</v>
      </c>
      <c r="E217" s="3" t="s">
        <v>23</v>
      </c>
      <c r="F217" s="3">
        <v>55.0</v>
      </c>
      <c r="G217" s="3">
        <v>59.0</v>
      </c>
      <c r="H217" s="4">
        <f t="shared" si="1"/>
        <v>2714</v>
      </c>
      <c r="I217" s="4">
        <f t="shared" si="2"/>
        <v>184</v>
      </c>
      <c r="J217" s="4">
        <f t="shared" si="3"/>
        <v>6.779661017</v>
      </c>
    </row>
    <row r="218" ht="15.75" customHeight="1">
      <c r="A218" s="3" t="s">
        <v>84</v>
      </c>
      <c r="B218" s="3" t="s">
        <v>32</v>
      </c>
      <c r="C218" s="3" t="s">
        <v>25</v>
      </c>
      <c r="D218" s="3">
        <v>51.0</v>
      </c>
      <c r="E218" s="3" t="s">
        <v>23</v>
      </c>
      <c r="F218" s="3">
        <v>52.0</v>
      </c>
      <c r="G218" s="3">
        <v>55.0</v>
      </c>
      <c r="H218" s="4">
        <f t="shared" si="1"/>
        <v>2805</v>
      </c>
      <c r="I218" s="4">
        <f t="shared" si="2"/>
        <v>153</v>
      </c>
      <c r="J218" s="4">
        <f t="shared" si="3"/>
        <v>5.454545455</v>
      </c>
    </row>
    <row r="219" ht="15.75" customHeight="1">
      <c r="A219" s="3" t="s">
        <v>86</v>
      </c>
      <c r="B219" s="3" t="s">
        <v>20</v>
      </c>
      <c r="C219" s="3" t="s">
        <v>18</v>
      </c>
      <c r="D219" s="3">
        <v>160.0</v>
      </c>
      <c r="E219" s="3" t="s">
        <v>19</v>
      </c>
      <c r="F219" s="3">
        <v>8.0</v>
      </c>
      <c r="G219" s="3">
        <v>9.0</v>
      </c>
      <c r="H219" s="4">
        <f t="shared" si="1"/>
        <v>1440</v>
      </c>
      <c r="I219" s="4">
        <f t="shared" si="2"/>
        <v>160</v>
      </c>
      <c r="J219" s="4">
        <f t="shared" si="3"/>
        <v>11.11111111</v>
      </c>
    </row>
    <row r="220" ht="15.75" customHeight="1">
      <c r="A220" s="3" t="s">
        <v>86</v>
      </c>
      <c r="B220" s="3" t="s">
        <v>26</v>
      </c>
      <c r="C220" s="3" t="s">
        <v>26</v>
      </c>
      <c r="D220" s="3">
        <v>2.0</v>
      </c>
      <c r="E220" s="3" t="s">
        <v>27</v>
      </c>
      <c r="F220" s="3">
        <v>180.0</v>
      </c>
      <c r="G220" s="3">
        <v>220.0</v>
      </c>
      <c r="H220" s="4">
        <f t="shared" si="1"/>
        <v>440</v>
      </c>
      <c r="I220" s="4">
        <f t="shared" si="2"/>
        <v>80</v>
      </c>
      <c r="J220" s="4">
        <f t="shared" si="3"/>
        <v>18.18181818</v>
      </c>
    </row>
    <row r="221" ht="15.75" customHeight="1">
      <c r="A221" s="3" t="s">
        <v>86</v>
      </c>
      <c r="B221" s="3" t="s">
        <v>14</v>
      </c>
      <c r="C221" s="3" t="s">
        <v>12</v>
      </c>
      <c r="D221" s="3">
        <v>10.0</v>
      </c>
      <c r="E221" s="3" t="s">
        <v>13</v>
      </c>
      <c r="F221" s="3">
        <v>290.0</v>
      </c>
      <c r="G221" s="3">
        <v>350.0</v>
      </c>
      <c r="H221" s="4">
        <f t="shared" si="1"/>
        <v>3500</v>
      </c>
      <c r="I221" s="4">
        <f t="shared" si="2"/>
        <v>600</v>
      </c>
      <c r="J221" s="4">
        <f t="shared" si="3"/>
        <v>17.14285714</v>
      </c>
    </row>
    <row r="222" ht="15.75" customHeight="1">
      <c r="A222" s="3" t="s">
        <v>86</v>
      </c>
      <c r="B222" s="3" t="s">
        <v>29</v>
      </c>
      <c r="C222" s="3" t="s">
        <v>29</v>
      </c>
      <c r="D222" s="3">
        <v>6.0</v>
      </c>
      <c r="E222" s="3" t="s">
        <v>27</v>
      </c>
      <c r="F222" s="3">
        <v>240.0</v>
      </c>
      <c r="G222" s="3">
        <v>280.0</v>
      </c>
      <c r="H222" s="4">
        <f t="shared" si="1"/>
        <v>1680</v>
      </c>
      <c r="I222" s="4">
        <f t="shared" si="2"/>
        <v>240</v>
      </c>
      <c r="J222" s="4">
        <f t="shared" si="3"/>
        <v>14.28571429</v>
      </c>
    </row>
    <row r="223" ht="15.75" customHeight="1">
      <c r="A223" s="3" t="s">
        <v>86</v>
      </c>
      <c r="B223" s="3" t="s">
        <v>32</v>
      </c>
      <c r="C223" s="3" t="s">
        <v>25</v>
      </c>
      <c r="D223" s="3">
        <v>255.0</v>
      </c>
      <c r="E223" s="3" t="s">
        <v>23</v>
      </c>
      <c r="F223" s="3">
        <v>52.0</v>
      </c>
      <c r="G223" s="3">
        <v>55.0</v>
      </c>
      <c r="H223" s="4">
        <f t="shared" si="1"/>
        <v>14025</v>
      </c>
      <c r="I223" s="4">
        <f t="shared" si="2"/>
        <v>765</v>
      </c>
      <c r="J223" s="4">
        <f t="shared" si="3"/>
        <v>5.454545455</v>
      </c>
    </row>
    <row r="224" ht="15.75" customHeight="1">
      <c r="A224" s="3" t="s">
        <v>87</v>
      </c>
      <c r="B224" s="3" t="s">
        <v>26</v>
      </c>
      <c r="C224" s="3" t="s">
        <v>26</v>
      </c>
      <c r="D224" s="3">
        <v>10.0</v>
      </c>
      <c r="E224" s="3" t="s">
        <v>27</v>
      </c>
      <c r="F224" s="3">
        <v>180.0</v>
      </c>
      <c r="G224" s="3">
        <v>220.0</v>
      </c>
      <c r="H224" s="4">
        <f t="shared" si="1"/>
        <v>2200</v>
      </c>
      <c r="I224" s="4">
        <f t="shared" si="2"/>
        <v>400</v>
      </c>
      <c r="J224" s="4">
        <f t="shared" si="3"/>
        <v>18.18181818</v>
      </c>
    </row>
    <row r="225" ht="15.75" customHeight="1">
      <c r="A225" s="3" t="s">
        <v>87</v>
      </c>
      <c r="B225" s="3" t="s">
        <v>29</v>
      </c>
      <c r="C225" s="3" t="s">
        <v>29</v>
      </c>
      <c r="D225" s="3">
        <v>15.0</v>
      </c>
      <c r="E225" s="3" t="s">
        <v>27</v>
      </c>
      <c r="F225" s="3">
        <v>240.0</v>
      </c>
      <c r="G225" s="3">
        <v>280.0</v>
      </c>
      <c r="H225" s="4">
        <f t="shared" si="1"/>
        <v>4200</v>
      </c>
      <c r="I225" s="4">
        <f t="shared" si="2"/>
        <v>600</v>
      </c>
      <c r="J225" s="4">
        <f t="shared" si="3"/>
        <v>14.28571429</v>
      </c>
    </row>
    <row r="226" ht="15.75" customHeight="1">
      <c r="A226" s="3" t="s">
        <v>87</v>
      </c>
      <c r="B226" s="3" t="s">
        <v>17</v>
      </c>
      <c r="C226" s="3" t="s">
        <v>18</v>
      </c>
      <c r="D226" s="3">
        <v>200.0</v>
      </c>
      <c r="E226" s="3" t="s">
        <v>19</v>
      </c>
      <c r="F226" s="3">
        <v>8.0</v>
      </c>
      <c r="G226" s="3">
        <v>12.0</v>
      </c>
      <c r="H226" s="4">
        <f t="shared" si="1"/>
        <v>2400</v>
      </c>
      <c r="I226" s="4">
        <f t="shared" si="2"/>
        <v>800</v>
      </c>
      <c r="J226" s="4">
        <f t="shared" si="3"/>
        <v>33.33333333</v>
      </c>
    </row>
    <row r="227" ht="15.75" customHeight="1">
      <c r="A227" s="3" t="s">
        <v>87</v>
      </c>
      <c r="B227" s="3" t="s">
        <v>20</v>
      </c>
      <c r="C227" s="3" t="s">
        <v>18</v>
      </c>
      <c r="D227" s="3">
        <v>170.0</v>
      </c>
      <c r="E227" s="3" t="s">
        <v>19</v>
      </c>
      <c r="F227" s="3">
        <v>9.0</v>
      </c>
      <c r="G227" s="3">
        <v>10.0</v>
      </c>
      <c r="H227" s="4">
        <f t="shared" si="1"/>
        <v>1700</v>
      </c>
      <c r="I227" s="4">
        <f t="shared" si="2"/>
        <v>170</v>
      </c>
      <c r="J227" s="4">
        <f t="shared" si="3"/>
        <v>10</v>
      </c>
    </row>
    <row r="228" ht="15.75" customHeight="1">
      <c r="A228" s="3" t="s">
        <v>87</v>
      </c>
      <c r="B228" s="3" t="s">
        <v>32</v>
      </c>
      <c r="C228" s="3" t="s">
        <v>25</v>
      </c>
      <c r="D228" s="3">
        <v>153.0</v>
      </c>
      <c r="E228" s="3" t="s">
        <v>23</v>
      </c>
      <c r="F228" s="3">
        <v>52.0</v>
      </c>
      <c r="G228" s="3">
        <v>55.0</v>
      </c>
      <c r="H228" s="4">
        <f t="shared" si="1"/>
        <v>8415</v>
      </c>
      <c r="I228" s="4">
        <f t="shared" si="2"/>
        <v>459</v>
      </c>
      <c r="J228" s="4">
        <f t="shared" si="3"/>
        <v>5.454545455</v>
      </c>
    </row>
    <row r="229" ht="15.75" customHeight="1">
      <c r="A229" s="3" t="s">
        <v>88</v>
      </c>
      <c r="B229" s="3" t="s">
        <v>29</v>
      </c>
      <c r="C229" s="3" t="s">
        <v>29</v>
      </c>
      <c r="D229" s="3">
        <v>5.0</v>
      </c>
      <c r="E229" s="3" t="s">
        <v>27</v>
      </c>
      <c r="F229" s="3">
        <v>240.0</v>
      </c>
      <c r="G229" s="3">
        <v>280.0</v>
      </c>
      <c r="H229" s="4">
        <f t="shared" si="1"/>
        <v>1400</v>
      </c>
      <c r="I229" s="4">
        <f t="shared" si="2"/>
        <v>200</v>
      </c>
      <c r="J229" s="4">
        <f t="shared" si="3"/>
        <v>14.28571429</v>
      </c>
    </row>
    <row r="230" ht="15.75" customHeight="1">
      <c r="A230" s="3" t="s">
        <v>88</v>
      </c>
      <c r="B230" s="3" t="s">
        <v>14</v>
      </c>
      <c r="C230" s="3" t="s">
        <v>12</v>
      </c>
      <c r="D230" s="3">
        <v>3.0</v>
      </c>
      <c r="E230" s="3" t="s">
        <v>13</v>
      </c>
      <c r="F230" s="3">
        <v>290.0</v>
      </c>
      <c r="G230" s="3">
        <v>350.0</v>
      </c>
      <c r="H230" s="4">
        <f t="shared" si="1"/>
        <v>1050</v>
      </c>
      <c r="I230" s="4">
        <f t="shared" si="2"/>
        <v>180</v>
      </c>
      <c r="J230" s="4">
        <f t="shared" si="3"/>
        <v>17.14285714</v>
      </c>
    </row>
    <row r="231" ht="15.75" customHeight="1">
      <c r="A231" s="3" t="s">
        <v>88</v>
      </c>
      <c r="B231" s="3" t="s">
        <v>15</v>
      </c>
      <c r="C231" s="3" t="s">
        <v>12</v>
      </c>
      <c r="D231" s="3">
        <v>18.0</v>
      </c>
      <c r="E231" s="3" t="s">
        <v>13</v>
      </c>
      <c r="F231" s="3">
        <v>270.0</v>
      </c>
      <c r="G231" s="3">
        <v>320.0</v>
      </c>
      <c r="H231" s="4">
        <f t="shared" si="1"/>
        <v>5760</v>
      </c>
      <c r="I231" s="4">
        <f t="shared" si="2"/>
        <v>900</v>
      </c>
      <c r="J231" s="4">
        <f t="shared" si="3"/>
        <v>15.625</v>
      </c>
    </row>
    <row r="232" ht="15.75" customHeight="1">
      <c r="A232" s="3" t="s">
        <v>89</v>
      </c>
      <c r="B232" s="3" t="s">
        <v>20</v>
      </c>
      <c r="C232" s="3" t="s">
        <v>18</v>
      </c>
      <c r="D232" s="3">
        <v>48.0</v>
      </c>
      <c r="E232" s="3" t="s">
        <v>19</v>
      </c>
      <c r="F232" s="3">
        <v>8.0</v>
      </c>
      <c r="G232" s="3">
        <v>9.0</v>
      </c>
      <c r="H232" s="4">
        <f t="shared" si="1"/>
        <v>432</v>
      </c>
      <c r="I232" s="4">
        <f t="shared" si="2"/>
        <v>48</v>
      </c>
      <c r="J232" s="4">
        <f t="shared" si="3"/>
        <v>11.11111111</v>
      </c>
    </row>
    <row r="233" ht="15.75" customHeight="1">
      <c r="A233" s="3" t="s">
        <v>89</v>
      </c>
      <c r="B233" s="3" t="s">
        <v>24</v>
      </c>
      <c r="C233" s="3" t="s">
        <v>25</v>
      </c>
      <c r="D233" s="3">
        <v>214.0</v>
      </c>
      <c r="E233" s="3" t="s">
        <v>23</v>
      </c>
      <c r="F233" s="3">
        <v>52.0</v>
      </c>
      <c r="G233" s="3">
        <v>55.0</v>
      </c>
      <c r="H233" s="4">
        <f t="shared" si="1"/>
        <v>11770</v>
      </c>
      <c r="I233" s="4">
        <f t="shared" si="2"/>
        <v>642</v>
      </c>
      <c r="J233" s="4">
        <f t="shared" si="3"/>
        <v>5.454545455</v>
      </c>
    </row>
    <row r="234" ht="15.75" customHeight="1">
      <c r="A234" s="3" t="s">
        <v>89</v>
      </c>
      <c r="B234" s="3" t="s">
        <v>26</v>
      </c>
      <c r="C234" s="3" t="s">
        <v>26</v>
      </c>
      <c r="D234" s="3">
        <v>6.0</v>
      </c>
      <c r="E234" s="3" t="s">
        <v>27</v>
      </c>
      <c r="F234" s="3">
        <v>180.0</v>
      </c>
      <c r="G234" s="3">
        <v>220.0</v>
      </c>
      <c r="H234" s="4">
        <f t="shared" si="1"/>
        <v>1320</v>
      </c>
      <c r="I234" s="4">
        <f t="shared" si="2"/>
        <v>240</v>
      </c>
      <c r="J234" s="4">
        <f t="shared" si="3"/>
        <v>18.18181818</v>
      </c>
    </row>
    <row r="235" ht="15.75" customHeight="1">
      <c r="A235" s="3" t="s">
        <v>89</v>
      </c>
      <c r="B235" s="3" t="s">
        <v>21</v>
      </c>
      <c r="C235" s="3" t="s">
        <v>22</v>
      </c>
      <c r="D235" s="3">
        <v>20.0</v>
      </c>
      <c r="E235" s="3" t="s">
        <v>23</v>
      </c>
      <c r="F235" s="3">
        <v>70.0</v>
      </c>
      <c r="G235" s="3">
        <v>76.0</v>
      </c>
      <c r="H235" s="4">
        <f t="shared" si="1"/>
        <v>1520</v>
      </c>
      <c r="I235" s="4">
        <f t="shared" si="2"/>
        <v>120</v>
      </c>
      <c r="J235" s="4">
        <f t="shared" si="3"/>
        <v>7.894736842</v>
      </c>
    </row>
    <row r="236" ht="15.75" customHeight="1">
      <c r="A236" s="3" t="s">
        <v>90</v>
      </c>
      <c r="B236" s="3" t="s">
        <v>32</v>
      </c>
      <c r="C236" s="3" t="s">
        <v>25</v>
      </c>
      <c r="D236" s="3">
        <v>52.0</v>
      </c>
      <c r="E236" s="3" t="s">
        <v>23</v>
      </c>
      <c r="F236" s="3">
        <v>52.0</v>
      </c>
      <c r="G236" s="3">
        <v>55.0</v>
      </c>
      <c r="H236" s="4">
        <f t="shared" si="1"/>
        <v>2860</v>
      </c>
      <c r="I236" s="4">
        <f t="shared" si="2"/>
        <v>156</v>
      </c>
      <c r="J236" s="4">
        <f t="shared" si="3"/>
        <v>5.454545455</v>
      </c>
    </row>
    <row r="237" ht="15.75" customHeight="1">
      <c r="A237" s="3" t="s">
        <v>90</v>
      </c>
      <c r="B237" s="3" t="s">
        <v>30</v>
      </c>
      <c r="C237" s="3" t="s">
        <v>18</v>
      </c>
      <c r="D237" s="3">
        <v>140.0</v>
      </c>
      <c r="E237" s="3" t="s">
        <v>19</v>
      </c>
      <c r="F237" s="3">
        <v>8.0</v>
      </c>
      <c r="G237" s="3">
        <v>12.0</v>
      </c>
      <c r="H237" s="4">
        <f t="shared" si="1"/>
        <v>1680</v>
      </c>
      <c r="I237" s="4">
        <f t="shared" si="2"/>
        <v>560</v>
      </c>
      <c r="J237" s="4">
        <f t="shared" si="3"/>
        <v>33.33333333</v>
      </c>
    </row>
    <row r="238" ht="15.75" customHeight="1">
      <c r="A238" s="3" t="s">
        <v>90</v>
      </c>
      <c r="B238" s="3" t="s">
        <v>29</v>
      </c>
      <c r="C238" s="3" t="s">
        <v>29</v>
      </c>
      <c r="D238" s="3">
        <v>5.0</v>
      </c>
      <c r="E238" s="3" t="s">
        <v>27</v>
      </c>
      <c r="F238" s="3">
        <v>240.0</v>
      </c>
      <c r="G238" s="3">
        <v>280.0</v>
      </c>
      <c r="H238" s="4">
        <f t="shared" si="1"/>
        <v>1400</v>
      </c>
      <c r="I238" s="4">
        <f t="shared" si="2"/>
        <v>200</v>
      </c>
      <c r="J238" s="4">
        <f t="shared" si="3"/>
        <v>14.28571429</v>
      </c>
    </row>
    <row r="239" ht="15.75" customHeight="1">
      <c r="A239" s="3" t="s">
        <v>91</v>
      </c>
      <c r="B239" s="3" t="s">
        <v>17</v>
      </c>
      <c r="C239" s="3" t="s">
        <v>18</v>
      </c>
      <c r="D239" s="3">
        <v>150.0</v>
      </c>
      <c r="E239" s="3" t="s">
        <v>19</v>
      </c>
      <c r="F239" s="3">
        <v>8.0</v>
      </c>
      <c r="G239" s="3">
        <v>12.0</v>
      </c>
      <c r="H239" s="4">
        <f t="shared" si="1"/>
        <v>1800</v>
      </c>
      <c r="I239" s="4">
        <f t="shared" si="2"/>
        <v>600</v>
      </c>
      <c r="J239" s="4">
        <f t="shared" si="3"/>
        <v>33.33333333</v>
      </c>
    </row>
    <row r="240" ht="15.75" customHeight="1">
      <c r="A240" s="3" t="s">
        <v>91</v>
      </c>
      <c r="B240" s="3" t="s">
        <v>30</v>
      </c>
      <c r="C240" s="3" t="s">
        <v>18</v>
      </c>
      <c r="D240" s="3">
        <v>150.0</v>
      </c>
      <c r="E240" s="3" t="s">
        <v>19</v>
      </c>
      <c r="F240" s="3">
        <v>8.0</v>
      </c>
      <c r="G240" s="3">
        <v>12.0</v>
      </c>
      <c r="H240" s="4">
        <f t="shared" si="1"/>
        <v>1800</v>
      </c>
      <c r="I240" s="4">
        <f t="shared" si="2"/>
        <v>600</v>
      </c>
      <c r="J240" s="4">
        <f t="shared" si="3"/>
        <v>33.33333333</v>
      </c>
    </row>
    <row r="241" ht="15.75" customHeight="1">
      <c r="A241" s="3" t="s">
        <v>91</v>
      </c>
      <c r="B241" s="3" t="s">
        <v>32</v>
      </c>
      <c r="C241" s="3" t="s">
        <v>25</v>
      </c>
      <c r="D241" s="3">
        <v>151.0</v>
      </c>
      <c r="E241" s="3" t="s">
        <v>23</v>
      </c>
      <c r="F241" s="3">
        <v>52.0</v>
      </c>
      <c r="G241" s="3">
        <v>55.0</v>
      </c>
      <c r="H241" s="4">
        <f t="shared" si="1"/>
        <v>8305</v>
      </c>
      <c r="I241" s="4">
        <f t="shared" si="2"/>
        <v>453</v>
      </c>
      <c r="J241" s="4">
        <f t="shared" si="3"/>
        <v>5.454545455</v>
      </c>
    </row>
    <row r="242" ht="15.75" customHeight="1">
      <c r="A242" s="3" t="s">
        <v>91</v>
      </c>
      <c r="B242" s="3" t="s">
        <v>40</v>
      </c>
      <c r="C242" s="3" t="s">
        <v>12</v>
      </c>
      <c r="D242" s="3">
        <v>20.0</v>
      </c>
      <c r="E242" s="3" t="s">
        <v>13</v>
      </c>
      <c r="F242" s="3">
        <v>360.0</v>
      </c>
      <c r="G242" s="3">
        <v>410.0</v>
      </c>
      <c r="H242" s="4">
        <f t="shared" si="1"/>
        <v>8200</v>
      </c>
      <c r="I242" s="4">
        <f t="shared" si="2"/>
        <v>1000</v>
      </c>
      <c r="J242" s="4">
        <f t="shared" si="3"/>
        <v>12.19512195</v>
      </c>
    </row>
    <row r="243" ht="15.75" customHeight="1">
      <c r="A243" s="3" t="s">
        <v>91</v>
      </c>
      <c r="B243" s="3" t="s">
        <v>21</v>
      </c>
      <c r="C243" s="3" t="s">
        <v>22</v>
      </c>
      <c r="D243" s="3">
        <v>5.0</v>
      </c>
      <c r="E243" s="3" t="s">
        <v>23</v>
      </c>
      <c r="F243" s="3">
        <v>70.0</v>
      </c>
      <c r="G243" s="3">
        <v>75.0</v>
      </c>
      <c r="H243" s="4">
        <f t="shared" si="1"/>
        <v>375</v>
      </c>
      <c r="I243" s="4">
        <f t="shared" si="2"/>
        <v>25</v>
      </c>
      <c r="J243" s="4">
        <f t="shared" si="3"/>
        <v>6.666666667</v>
      </c>
    </row>
    <row r="244" ht="15.75" customHeight="1">
      <c r="A244" s="3" t="s">
        <v>91</v>
      </c>
      <c r="B244" s="3" t="s">
        <v>24</v>
      </c>
      <c r="C244" s="3" t="s">
        <v>25</v>
      </c>
      <c r="D244" s="3">
        <v>71.0</v>
      </c>
      <c r="E244" s="3" t="s">
        <v>23</v>
      </c>
      <c r="F244" s="3">
        <v>52.0</v>
      </c>
      <c r="G244" s="3">
        <v>55.0</v>
      </c>
      <c r="H244" s="4">
        <f t="shared" si="1"/>
        <v>3905</v>
      </c>
      <c r="I244" s="4">
        <f t="shared" si="2"/>
        <v>213</v>
      </c>
      <c r="J244" s="4">
        <f t="shared" si="3"/>
        <v>5.454545455</v>
      </c>
    </row>
    <row r="245" ht="15.75" customHeight="1">
      <c r="A245" s="3" t="s">
        <v>92</v>
      </c>
      <c r="B245" s="3" t="s">
        <v>26</v>
      </c>
      <c r="C245" s="3" t="s">
        <v>26</v>
      </c>
      <c r="D245" s="3">
        <v>8.0</v>
      </c>
      <c r="E245" s="3" t="s">
        <v>27</v>
      </c>
      <c r="F245" s="3">
        <v>180.0</v>
      </c>
      <c r="G245" s="3">
        <v>220.0</v>
      </c>
      <c r="H245" s="4">
        <f t="shared" si="1"/>
        <v>1760</v>
      </c>
      <c r="I245" s="4">
        <f t="shared" si="2"/>
        <v>320</v>
      </c>
      <c r="J245" s="4">
        <f t="shared" si="3"/>
        <v>18.18181818</v>
      </c>
    </row>
    <row r="246" ht="15.75" customHeight="1">
      <c r="A246" s="3" t="s">
        <v>92</v>
      </c>
      <c r="B246" s="3" t="s">
        <v>32</v>
      </c>
      <c r="C246" s="3" t="s">
        <v>25</v>
      </c>
      <c r="D246" s="3">
        <v>255.0</v>
      </c>
      <c r="E246" s="3" t="s">
        <v>23</v>
      </c>
      <c r="F246" s="3">
        <v>52.0</v>
      </c>
      <c r="G246" s="3">
        <v>55.0</v>
      </c>
      <c r="H246" s="4">
        <f t="shared" si="1"/>
        <v>14025</v>
      </c>
      <c r="I246" s="4">
        <f t="shared" si="2"/>
        <v>765</v>
      </c>
      <c r="J246" s="4">
        <f t="shared" si="3"/>
        <v>5.454545455</v>
      </c>
    </row>
    <row r="247" ht="15.75" customHeight="1">
      <c r="A247" s="3" t="s">
        <v>92</v>
      </c>
      <c r="B247" s="3" t="s">
        <v>11</v>
      </c>
      <c r="C247" s="3" t="s">
        <v>12</v>
      </c>
      <c r="D247" s="3">
        <v>3.0</v>
      </c>
      <c r="E247" s="3" t="s">
        <v>13</v>
      </c>
      <c r="F247" s="3">
        <v>270.0</v>
      </c>
      <c r="G247" s="3">
        <v>340.0</v>
      </c>
      <c r="H247" s="4">
        <f t="shared" si="1"/>
        <v>1020</v>
      </c>
      <c r="I247" s="4">
        <f t="shared" si="2"/>
        <v>210</v>
      </c>
      <c r="J247" s="4">
        <f t="shared" si="3"/>
        <v>20.58823529</v>
      </c>
    </row>
    <row r="248" ht="15.75" customHeight="1">
      <c r="A248" s="3" t="s">
        <v>93</v>
      </c>
      <c r="B248" s="3" t="s">
        <v>26</v>
      </c>
      <c r="C248" s="3" t="s">
        <v>26</v>
      </c>
      <c r="D248" s="3">
        <v>10.0</v>
      </c>
      <c r="E248" s="3" t="s">
        <v>27</v>
      </c>
      <c r="F248" s="3">
        <v>180.0</v>
      </c>
      <c r="G248" s="3">
        <v>220.0</v>
      </c>
      <c r="H248" s="4">
        <f t="shared" si="1"/>
        <v>2200</v>
      </c>
      <c r="I248" s="4">
        <f t="shared" si="2"/>
        <v>400</v>
      </c>
      <c r="J248" s="4">
        <f t="shared" si="3"/>
        <v>18.18181818</v>
      </c>
    </row>
    <row r="249" ht="15.75" customHeight="1">
      <c r="A249" s="3" t="s">
        <v>93</v>
      </c>
      <c r="B249" s="3" t="s">
        <v>24</v>
      </c>
      <c r="C249" s="3" t="s">
        <v>25</v>
      </c>
      <c r="D249" s="3">
        <v>214.0</v>
      </c>
      <c r="E249" s="3" t="s">
        <v>23</v>
      </c>
      <c r="F249" s="3">
        <v>52.0</v>
      </c>
      <c r="G249" s="3">
        <v>55.0</v>
      </c>
      <c r="H249" s="4">
        <f t="shared" si="1"/>
        <v>11770</v>
      </c>
      <c r="I249" s="4">
        <f t="shared" si="2"/>
        <v>642</v>
      </c>
      <c r="J249" s="4">
        <f t="shared" si="3"/>
        <v>5.454545455</v>
      </c>
    </row>
    <row r="250" ht="15.75" customHeight="1">
      <c r="A250" s="3" t="s">
        <v>93</v>
      </c>
      <c r="B250" s="3" t="s">
        <v>17</v>
      </c>
      <c r="C250" s="3" t="s">
        <v>18</v>
      </c>
      <c r="D250" s="3">
        <v>80.0</v>
      </c>
      <c r="E250" s="3" t="s">
        <v>19</v>
      </c>
      <c r="F250" s="3">
        <v>8.0</v>
      </c>
      <c r="G250" s="3">
        <v>12.0</v>
      </c>
      <c r="H250" s="4">
        <f t="shared" si="1"/>
        <v>960</v>
      </c>
      <c r="I250" s="4">
        <f t="shared" si="2"/>
        <v>320</v>
      </c>
      <c r="J250" s="4">
        <f t="shared" si="3"/>
        <v>33.33333333</v>
      </c>
    </row>
    <row r="251" ht="15.75" customHeight="1">
      <c r="A251" s="3" t="s">
        <v>93</v>
      </c>
      <c r="B251" s="3" t="s">
        <v>14</v>
      </c>
      <c r="C251" s="3" t="s">
        <v>12</v>
      </c>
      <c r="D251" s="3">
        <v>3.0</v>
      </c>
      <c r="E251" s="3" t="s">
        <v>13</v>
      </c>
      <c r="F251" s="3">
        <v>290.0</v>
      </c>
      <c r="G251" s="3">
        <v>350.0</v>
      </c>
      <c r="H251" s="4">
        <f t="shared" si="1"/>
        <v>1050</v>
      </c>
      <c r="I251" s="4">
        <f t="shared" si="2"/>
        <v>180</v>
      </c>
      <c r="J251" s="4">
        <f t="shared" si="3"/>
        <v>17.14285714</v>
      </c>
    </row>
    <row r="252" ht="15.75" customHeight="1">
      <c r="A252" s="3" t="s">
        <v>94</v>
      </c>
      <c r="B252" s="3" t="s">
        <v>20</v>
      </c>
      <c r="C252" s="3" t="s">
        <v>18</v>
      </c>
      <c r="D252" s="3">
        <v>30.0</v>
      </c>
      <c r="E252" s="3" t="s">
        <v>19</v>
      </c>
      <c r="F252" s="3">
        <v>9.0</v>
      </c>
      <c r="G252" s="3">
        <v>10.0</v>
      </c>
      <c r="H252" s="4">
        <f t="shared" si="1"/>
        <v>300</v>
      </c>
      <c r="I252" s="4">
        <f t="shared" si="2"/>
        <v>30</v>
      </c>
      <c r="J252" s="4">
        <f t="shared" si="3"/>
        <v>10</v>
      </c>
    </row>
    <row r="253" ht="15.75" customHeight="1">
      <c r="A253" s="3" t="s">
        <v>94</v>
      </c>
      <c r="B253" s="3" t="s">
        <v>32</v>
      </c>
      <c r="C253" s="3" t="s">
        <v>25</v>
      </c>
      <c r="D253" s="3">
        <v>153.0</v>
      </c>
      <c r="E253" s="3" t="s">
        <v>23</v>
      </c>
      <c r="F253" s="3">
        <v>52.0</v>
      </c>
      <c r="G253" s="3">
        <v>55.0</v>
      </c>
      <c r="H253" s="4">
        <f t="shared" si="1"/>
        <v>8415</v>
      </c>
      <c r="I253" s="4">
        <f t="shared" si="2"/>
        <v>459</v>
      </c>
      <c r="J253" s="4">
        <f t="shared" si="3"/>
        <v>5.454545455</v>
      </c>
    </row>
    <row r="254" ht="15.75" customHeight="1">
      <c r="A254" s="3" t="s">
        <v>94</v>
      </c>
      <c r="B254" s="3" t="s">
        <v>24</v>
      </c>
      <c r="C254" s="3" t="s">
        <v>25</v>
      </c>
      <c r="D254" s="3">
        <v>71.0</v>
      </c>
      <c r="E254" s="3" t="s">
        <v>23</v>
      </c>
      <c r="F254" s="3">
        <v>52.0</v>
      </c>
      <c r="G254" s="3">
        <v>55.0</v>
      </c>
      <c r="H254" s="4">
        <f t="shared" si="1"/>
        <v>3905</v>
      </c>
      <c r="I254" s="4">
        <f t="shared" si="2"/>
        <v>213</v>
      </c>
      <c r="J254" s="4">
        <f t="shared" si="3"/>
        <v>5.454545455</v>
      </c>
    </row>
    <row r="255" ht="15.75" customHeight="1">
      <c r="A255" s="3" t="s">
        <v>94</v>
      </c>
      <c r="B255" s="3" t="s">
        <v>15</v>
      </c>
      <c r="C255" s="3" t="s">
        <v>12</v>
      </c>
      <c r="D255" s="3">
        <v>5.0</v>
      </c>
      <c r="E255" s="3" t="s">
        <v>13</v>
      </c>
      <c r="F255" s="3">
        <v>270.0</v>
      </c>
      <c r="G255" s="3">
        <v>320.0</v>
      </c>
      <c r="H255" s="4">
        <f t="shared" si="1"/>
        <v>1600</v>
      </c>
      <c r="I255" s="4">
        <f t="shared" si="2"/>
        <v>250</v>
      </c>
      <c r="J255" s="4">
        <f t="shared" si="3"/>
        <v>15.625</v>
      </c>
    </row>
    <row r="256" ht="15.75" customHeight="1">
      <c r="A256" s="3" t="s">
        <v>95</v>
      </c>
      <c r="B256" s="3" t="s">
        <v>15</v>
      </c>
      <c r="C256" s="3" t="s">
        <v>12</v>
      </c>
      <c r="D256" s="3">
        <v>2.0</v>
      </c>
      <c r="E256" s="3" t="s">
        <v>13</v>
      </c>
      <c r="F256" s="3">
        <v>270.0</v>
      </c>
      <c r="G256" s="3">
        <v>320.0</v>
      </c>
      <c r="H256" s="4">
        <f t="shared" si="1"/>
        <v>640</v>
      </c>
      <c r="I256" s="4">
        <f t="shared" si="2"/>
        <v>100</v>
      </c>
      <c r="J256" s="4">
        <f t="shared" si="3"/>
        <v>15.625</v>
      </c>
    </row>
    <row r="257" ht="15.75" customHeight="1">
      <c r="A257" s="3" t="s">
        <v>95</v>
      </c>
      <c r="B257" s="3" t="s">
        <v>26</v>
      </c>
      <c r="C257" s="3" t="s">
        <v>26</v>
      </c>
      <c r="D257" s="3">
        <v>20.0</v>
      </c>
      <c r="E257" s="3" t="s">
        <v>27</v>
      </c>
      <c r="F257" s="3">
        <v>180.0</v>
      </c>
      <c r="G257" s="3">
        <v>220.0</v>
      </c>
      <c r="H257" s="4">
        <f t="shared" si="1"/>
        <v>4400</v>
      </c>
      <c r="I257" s="4">
        <f t="shared" si="2"/>
        <v>800</v>
      </c>
      <c r="J257" s="4">
        <f t="shared" si="3"/>
        <v>18.18181818</v>
      </c>
    </row>
    <row r="258" ht="15.75" customHeight="1">
      <c r="A258" s="3" t="s">
        <v>95</v>
      </c>
      <c r="B258" s="3" t="s">
        <v>20</v>
      </c>
      <c r="C258" s="3" t="s">
        <v>18</v>
      </c>
      <c r="D258" s="3">
        <v>200.0</v>
      </c>
      <c r="E258" s="3" t="s">
        <v>19</v>
      </c>
      <c r="F258" s="3">
        <v>8.0</v>
      </c>
      <c r="G258" s="3">
        <v>9.0</v>
      </c>
      <c r="H258" s="4">
        <f t="shared" si="1"/>
        <v>1800</v>
      </c>
      <c r="I258" s="4">
        <f t="shared" si="2"/>
        <v>200</v>
      </c>
      <c r="J258" s="4">
        <f t="shared" si="3"/>
        <v>11.11111111</v>
      </c>
    </row>
    <row r="259" ht="15.75" customHeight="1">
      <c r="A259" s="3" t="s">
        <v>95</v>
      </c>
      <c r="B259" s="3" t="s">
        <v>30</v>
      </c>
      <c r="C259" s="3" t="s">
        <v>18</v>
      </c>
      <c r="D259" s="3">
        <v>100.0</v>
      </c>
      <c r="E259" s="3" t="s">
        <v>19</v>
      </c>
      <c r="F259" s="3">
        <v>8.0</v>
      </c>
      <c r="G259" s="3">
        <v>12.0</v>
      </c>
      <c r="H259" s="4">
        <f t="shared" si="1"/>
        <v>1200</v>
      </c>
      <c r="I259" s="4">
        <f t="shared" si="2"/>
        <v>400</v>
      </c>
      <c r="J259" s="4">
        <f t="shared" si="3"/>
        <v>33.33333333</v>
      </c>
    </row>
    <row r="260" ht="15.75" customHeight="1">
      <c r="A260" s="3" t="s">
        <v>95</v>
      </c>
      <c r="B260" s="3" t="s">
        <v>14</v>
      </c>
      <c r="C260" s="3" t="s">
        <v>12</v>
      </c>
      <c r="D260" s="3">
        <v>2.0</v>
      </c>
      <c r="E260" s="3" t="s">
        <v>13</v>
      </c>
      <c r="F260" s="3">
        <v>290.0</v>
      </c>
      <c r="G260" s="3">
        <v>350.0</v>
      </c>
      <c r="H260" s="4">
        <f t="shared" si="1"/>
        <v>700</v>
      </c>
      <c r="I260" s="4">
        <f t="shared" si="2"/>
        <v>120</v>
      </c>
      <c r="J260" s="4">
        <f t="shared" si="3"/>
        <v>17.14285714</v>
      </c>
    </row>
    <row r="261" ht="15.75" customHeight="1">
      <c r="A261" s="3" t="s">
        <v>96</v>
      </c>
      <c r="B261" s="3" t="s">
        <v>15</v>
      </c>
      <c r="C261" s="3" t="s">
        <v>12</v>
      </c>
      <c r="D261" s="3">
        <v>10.0</v>
      </c>
      <c r="E261" s="3" t="s">
        <v>13</v>
      </c>
      <c r="F261" s="3">
        <v>270.0</v>
      </c>
      <c r="G261" s="3">
        <v>320.0</v>
      </c>
      <c r="H261" s="4">
        <f t="shared" si="1"/>
        <v>3200</v>
      </c>
      <c r="I261" s="4">
        <f t="shared" si="2"/>
        <v>500</v>
      </c>
      <c r="J261" s="4">
        <f t="shared" si="3"/>
        <v>15.625</v>
      </c>
    </row>
    <row r="262" ht="15.75" customHeight="1">
      <c r="A262" s="3" t="s">
        <v>96</v>
      </c>
      <c r="B262" s="3" t="s">
        <v>11</v>
      </c>
      <c r="C262" s="3" t="s">
        <v>12</v>
      </c>
      <c r="D262" s="3">
        <v>5.0</v>
      </c>
      <c r="E262" s="3" t="s">
        <v>13</v>
      </c>
      <c r="F262" s="3">
        <v>270.0</v>
      </c>
      <c r="G262" s="3">
        <v>340.0</v>
      </c>
      <c r="H262" s="4">
        <f t="shared" si="1"/>
        <v>1700</v>
      </c>
      <c r="I262" s="4">
        <f t="shared" si="2"/>
        <v>350</v>
      </c>
      <c r="J262" s="4">
        <f t="shared" si="3"/>
        <v>20.58823529</v>
      </c>
    </row>
    <row r="263" ht="15.75" customHeight="1">
      <c r="A263" s="3" t="s">
        <v>96</v>
      </c>
      <c r="B263" s="3" t="s">
        <v>14</v>
      </c>
      <c r="C263" s="3" t="s">
        <v>12</v>
      </c>
      <c r="D263" s="3">
        <v>5.0</v>
      </c>
      <c r="E263" s="3" t="s">
        <v>13</v>
      </c>
      <c r="F263" s="3">
        <v>290.0</v>
      </c>
      <c r="G263" s="3">
        <v>350.0</v>
      </c>
      <c r="H263" s="4">
        <f t="shared" si="1"/>
        <v>1750</v>
      </c>
      <c r="I263" s="4">
        <f t="shared" si="2"/>
        <v>300</v>
      </c>
      <c r="J263" s="4">
        <f t="shared" si="3"/>
        <v>17.14285714</v>
      </c>
    </row>
    <row r="264" ht="15.75" customHeight="1">
      <c r="A264" s="3" t="s">
        <v>96</v>
      </c>
      <c r="B264" s="3" t="s">
        <v>26</v>
      </c>
      <c r="C264" s="3" t="s">
        <v>26</v>
      </c>
      <c r="D264" s="3">
        <v>6.0</v>
      </c>
      <c r="E264" s="3" t="s">
        <v>27</v>
      </c>
      <c r="F264" s="3">
        <v>180.0</v>
      </c>
      <c r="G264" s="3">
        <v>220.0</v>
      </c>
      <c r="H264" s="4">
        <f t="shared" si="1"/>
        <v>1320</v>
      </c>
      <c r="I264" s="4">
        <f t="shared" si="2"/>
        <v>240</v>
      </c>
      <c r="J264" s="4">
        <f t="shared" si="3"/>
        <v>18.18181818</v>
      </c>
    </row>
    <row r="265" ht="15.75" customHeight="1">
      <c r="A265" s="3" t="s">
        <v>97</v>
      </c>
      <c r="B265" s="3" t="s">
        <v>15</v>
      </c>
      <c r="C265" s="3" t="s">
        <v>12</v>
      </c>
      <c r="D265" s="3">
        <v>12.0</v>
      </c>
      <c r="E265" s="3" t="s">
        <v>13</v>
      </c>
      <c r="F265" s="3">
        <v>270.0</v>
      </c>
      <c r="G265" s="3">
        <v>320.0</v>
      </c>
      <c r="H265" s="4">
        <f t="shared" si="1"/>
        <v>3840</v>
      </c>
      <c r="I265" s="4">
        <f t="shared" si="2"/>
        <v>600</v>
      </c>
      <c r="J265" s="4">
        <f t="shared" si="3"/>
        <v>15.625</v>
      </c>
    </row>
    <row r="266" ht="15.75" customHeight="1">
      <c r="A266" s="3" t="s">
        <v>97</v>
      </c>
      <c r="B266" s="3" t="s">
        <v>11</v>
      </c>
      <c r="C266" s="3" t="s">
        <v>12</v>
      </c>
      <c r="D266" s="3">
        <v>25.0</v>
      </c>
      <c r="E266" s="3" t="s">
        <v>13</v>
      </c>
      <c r="F266" s="3">
        <v>270.0</v>
      </c>
      <c r="G266" s="3">
        <v>340.0</v>
      </c>
      <c r="H266" s="4">
        <f t="shared" si="1"/>
        <v>8500</v>
      </c>
      <c r="I266" s="4">
        <f t="shared" si="2"/>
        <v>1750</v>
      </c>
      <c r="J266" s="4">
        <f t="shared" si="3"/>
        <v>20.58823529</v>
      </c>
    </row>
    <row r="267" ht="15.75" customHeight="1">
      <c r="A267" s="3" t="s">
        <v>97</v>
      </c>
      <c r="B267" s="3" t="s">
        <v>30</v>
      </c>
      <c r="C267" s="3" t="s">
        <v>18</v>
      </c>
      <c r="D267" s="3">
        <v>300.0</v>
      </c>
      <c r="E267" s="3" t="s">
        <v>19</v>
      </c>
      <c r="F267" s="3">
        <v>8.0</v>
      </c>
      <c r="G267" s="3">
        <v>12.0</v>
      </c>
      <c r="H267" s="4">
        <f t="shared" si="1"/>
        <v>3600</v>
      </c>
      <c r="I267" s="4">
        <f t="shared" si="2"/>
        <v>1200</v>
      </c>
      <c r="J267" s="4">
        <f t="shared" si="3"/>
        <v>33.33333333</v>
      </c>
    </row>
    <row r="268" ht="15.75" customHeight="1">
      <c r="A268" s="3" t="s">
        <v>97</v>
      </c>
      <c r="B268" s="3" t="s">
        <v>14</v>
      </c>
      <c r="C268" s="3" t="s">
        <v>12</v>
      </c>
      <c r="D268" s="3">
        <v>5.0</v>
      </c>
      <c r="E268" s="3" t="s">
        <v>13</v>
      </c>
      <c r="F268" s="3">
        <v>290.0</v>
      </c>
      <c r="G268" s="3">
        <v>350.0</v>
      </c>
      <c r="H268" s="4">
        <f t="shared" si="1"/>
        <v>1750</v>
      </c>
      <c r="I268" s="4">
        <f t="shared" si="2"/>
        <v>300</v>
      </c>
      <c r="J268" s="4">
        <f t="shared" si="3"/>
        <v>17.14285714</v>
      </c>
    </row>
    <row r="269" ht="15.75" customHeight="1">
      <c r="A269" s="3" t="s">
        <v>97</v>
      </c>
      <c r="B269" s="3" t="s">
        <v>24</v>
      </c>
      <c r="C269" s="3" t="s">
        <v>25</v>
      </c>
      <c r="D269" s="3">
        <v>71.0</v>
      </c>
      <c r="E269" s="3" t="s">
        <v>23</v>
      </c>
      <c r="F269" s="3">
        <v>52.0</v>
      </c>
      <c r="G269" s="3">
        <v>55.0</v>
      </c>
      <c r="H269" s="4">
        <f t="shared" si="1"/>
        <v>3905</v>
      </c>
      <c r="I269" s="4">
        <f t="shared" si="2"/>
        <v>213</v>
      </c>
      <c r="J269" s="4">
        <f t="shared" si="3"/>
        <v>5.454545455</v>
      </c>
    </row>
    <row r="270" ht="15.75" customHeight="1">
      <c r="A270" s="3" t="s">
        <v>98</v>
      </c>
      <c r="B270" s="3" t="s">
        <v>14</v>
      </c>
      <c r="C270" s="3" t="s">
        <v>12</v>
      </c>
      <c r="D270" s="3">
        <v>1.0</v>
      </c>
      <c r="E270" s="3" t="s">
        <v>13</v>
      </c>
      <c r="F270" s="3">
        <v>290.0</v>
      </c>
      <c r="G270" s="3">
        <v>350.0</v>
      </c>
      <c r="H270" s="4">
        <f t="shared" si="1"/>
        <v>350</v>
      </c>
      <c r="I270" s="4">
        <f t="shared" si="2"/>
        <v>60</v>
      </c>
      <c r="J270" s="4">
        <f t="shared" si="3"/>
        <v>17.14285714</v>
      </c>
    </row>
    <row r="271" ht="15.75" customHeight="1">
      <c r="A271" s="3" t="s">
        <v>98</v>
      </c>
      <c r="B271" s="3" t="s">
        <v>30</v>
      </c>
      <c r="C271" s="3" t="s">
        <v>18</v>
      </c>
      <c r="D271" s="3">
        <v>150.0</v>
      </c>
      <c r="E271" s="3" t="s">
        <v>19</v>
      </c>
      <c r="F271" s="3">
        <v>8.0</v>
      </c>
      <c r="G271" s="3">
        <v>12.0</v>
      </c>
      <c r="H271" s="4">
        <f t="shared" si="1"/>
        <v>1800</v>
      </c>
      <c r="I271" s="4">
        <f t="shared" si="2"/>
        <v>600</v>
      </c>
      <c r="J271" s="4">
        <f t="shared" si="3"/>
        <v>33.33333333</v>
      </c>
    </row>
    <row r="272" ht="15.75" customHeight="1">
      <c r="A272" s="3" t="s">
        <v>98</v>
      </c>
      <c r="B272" s="3" t="s">
        <v>15</v>
      </c>
      <c r="C272" s="3" t="s">
        <v>12</v>
      </c>
      <c r="D272" s="3">
        <v>10.0</v>
      </c>
      <c r="E272" s="3" t="s">
        <v>13</v>
      </c>
      <c r="F272" s="3">
        <v>270.0</v>
      </c>
      <c r="G272" s="3">
        <v>320.0</v>
      </c>
      <c r="H272" s="4">
        <f t="shared" si="1"/>
        <v>3200</v>
      </c>
      <c r="I272" s="4">
        <f t="shared" si="2"/>
        <v>500</v>
      </c>
      <c r="J272" s="4">
        <f t="shared" si="3"/>
        <v>15.625</v>
      </c>
    </row>
    <row r="273" ht="15.75" customHeight="1">
      <c r="A273" s="3" t="s">
        <v>98</v>
      </c>
      <c r="B273" s="3" t="s">
        <v>24</v>
      </c>
      <c r="C273" s="3" t="s">
        <v>25</v>
      </c>
      <c r="D273" s="3">
        <v>71.0</v>
      </c>
      <c r="E273" s="3" t="s">
        <v>23</v>
      </c>
      <c r="F273" s="3">
        <v>52.0</v>
      </c>
      <c r="G273" s="3">
        <v>55.0</v>
      </c>
      <c r="H273" s="4">
        <f t="shared" si="1"/>
        <v>3905</v>
      </c>
      <c r="I273" s="4">
        <f t="shared" si="2"/>
        <v>213</v>
      </c>
      <c r="J273" s="4">
        <f t="shared" si="3"/>
        <v>5.454545455</v>
      </c>
    </row>
    <row r="274" ht="15.75" customHeight="1">
      <c r="A274" s="3" t="s">
        <v>98</v>
      </c>
      <c r="B274" s="3" t="s">
        <v>24</v>
      </c>
      <c r="C274" s="3" t="s">
        <v>25</v>
      </c>
      <c r="D274" s="3">
        <v>142.0</v>
      </c>
      <c r="E274" s="3" t="s">
        <v>23</v>
      </c>
      <c r="F274" s="3">
        <v>52.0</v>
      </c>
      <c r="G274" s="3">
        <v>55.0</v>
      </c>
      <c r="H274" s="4">
        <f t="shared" si="1"/>
        <v>7810</v>
      </c>
      <c r="I274" s="4">
        <f t="shared" si="2"/>
        <v>426</v>
      </c>
      <c r="J274" s="4">
        <f t="shared" si="3"/>
        <v>5.454545455</v>
      </c>
    </row>
    <row r="275" ht="15.75" customHeight="1">
      <c r="A275" s="3" t="s">
        <v>98</v>
      </c>
      <c r="B275" s="3" t="s">
        <v>32</v>
      </c>
      <c r="C275" s="3" t="s">
        <v>25</v>
      </c>
      <c r="D275" s="3">
        <v>561.0</v>
      </c>
      <c r="E275" s="3" t="s">
        <v>23</v>
      </c>
      <c r="F275" s="3">
        <v>52.0</v>
      </c>
      <c r="G275" s="3">
        <v>55.0</v>
      </c>
      <c r="H275" s="4">
        <f t="shared" si="1"/>
        <v>30855</v>
      </c>
      <c r="I275" s="4">
        <f t="shared" si="2"/>
        <v>1683</v>
      </c>
      <c r="J275" s="4">
        <f t="shared" si="3"/>
        <v>5.454545455</v>
      </c>
    </row>
    <row r="276" ht="15.75" customHeight="1">
      <c r="A276" s="3" t="s">
        <v>98</v>
      </c>
      <c r="B276" s="3" t="s">
        <v>85</v>
      </c>
      <c r="C276" s="3" t="s">
        <v>25</v>
      </c>
      <c r="D276" s="3">
        <v>46.0</v>
      </c>
      <c r="E276" s="3" t="s">
        <v>23</v>
      </c>
      <c r="F276" s="3">
        <v>55.0</v>
      </c>
      <c r="G276" s="3">
        <v>59.0</v>
      </c>
      <c r="H276" s="4">
        <f t="shared" si="1"/>
        <v>2714</v>
      </c>
      <c r="I276" s="4">
        <f t="shared" si="2"/>
        <v>184</v>
      </c>
      <c r="J276" s="4">
        <f t="shared" si="3"/>
        <v>6.779661017</v>
      </c>
    </row>
    <row r="277" ht="15.75" customHeight="1">
      <c r="A277" s="3" t="s">
        <v>98</v>
      </c>
      <c r="B277" s="3" t="s">
        <v>30</v>
      </c>
      <c r="C277" s="3" t="s">
        <v>18</v>
      </c>
      <c r="D277" s="3">
        <v>300.0</v>
      </c>
      <c r="E277" s="3" t="s">
        <v>19</v>
      </c>
      <c r="F277" s="3">
        <v>8.0</v>
      </c>
      <c r="G277" s="3">
        <v>12.0</v>
      </c>
      <c r="H277" s="4">
        <f t="shared" si="1"/>
        <v>3600</v>
      </c>
      <c r="I277" s="4">
        <f t="shared" si="2"/>
        <v>1200</v>
      </c>
      <c r="J277" s="4">
        <f t="shared" si="3"/>
        <v>33.33333333</v>
      </c>
    </row>
    <row r="278" ht="15.75" customHeight="1">
      <c r="A278" s="3" t="s">
        <v>98</v>
      </c>
      <c r="B278" s="3" t="s">
        <v>20</v>
      </c>
      <c r="C278" s="3" t="s">
        <v>99</v>
      </c>
      <c r="D278" s="3">
        <v>200.0</v>
      </c>
      <c r="E278" s="3" t="s">
        <v>19</v>
      </c>
      <c r="F278" s="3">
        <v>8.0</v>
      </c>
      <c r="G278" s="3">
        <v>8.0</v>
      </c>
      <c r="H278" s="4">
        <f t="shared" si="1"/>
        <v>1600</v>
      </c>
      <c r="I278" s="4">
        <f t="shared" si="2"/>
        <v>0</v>
      </c>
      <c r="J278" s="4">
        <f t="shared" si="3"/>
        <v>0</v>
      </c>
    </row>
    <row r="279" ht="15.75" customHeight="1">
      <c r="A279" s="3" t="s">
        <v>100</v>
      </c>
      <c r="B279" s="3" t="s">
        <v>40</v>
      </c>
      <c r="C279" s="3" t="s">
        <v>12</v>
      </c>
      <c r="D279" s="3">
        <v>50.0</v>
      </c>
      <c r="E279" s="3" t="s">
        <v>13</v>
      </c>
      <c r="F279" s="3">
        <v>360.0</v>
      </c>
      <c r="G279" s="3">
        <v>410.0</v>
      </c>
      <c r="H279" s="4">
        <f t="shared" si="1"/>
        <v>20500</v>
      </c>
      <c r="I279" s="4">
        <f t="shared" si="2"/>
        <v>2500</v>
      </c>
      <c r="J279" s="4">
        <f t="shared" si="3"/>
        <v>12.19512195</v>
      </c>
    </row>
    <row r="280" ht="15.75" customHeight="1">
      <c r="A280" s="3" t="s">
        <v>100</v>
      </c>
      <c r="B280" s="3" t="s">
        <v>42</v>
      </c>
      <c r="C280" s="3" t="s">
        <v>43</v>
      </c>
      <c r="D280" s="3">
        <v>5.0</v>
      </c>
      <c r="E280" s="3" t="s">
        <v>19</v>
      </c>
      <c r="F280" s="3">
        <v>360.0</v>
      </c>
      <c r="G280" s="3">
        <v>400.0</v>
      </c>
      <c r="H280" s="4">
        <f t="shared" si="1"/>
        <v>2000</v>
      </c>
      <c r="I280" s="4">
        <f t="shared" si="2"/>
        <v>200</v>
      </c>
      <c r="J280" s="4">
        <f t="shared" si="3"/>
        <v>10</v>
      </c>
    </row>
    <row r="281" ht="15.75" customHeight="1">
      <c r="A281" s="3" t="s">
        <v>100</v>
      </c>
      <c r="B281" s="3" t="s">
        <v>32</v>
      </c>
      <c r="C281" s="3" t="s">
        <v>25</v>
      </c>
      <c r="D281" s="3">
        <v>102.0</v>
      </c>
      <c r="E281" s="3" t="s">
        <v>23</v>
      </c>
      <c r="F281" s="3">
        <v>52.0</v>
      </c>
      <c r="G281" s="3">
        <v>55.0</v>
      </c>
      <c r="H281" s="4">
        <f t="shared" si="1"/>
        <v>5610</v>
      </c>
      <c r="I281" s="4">
        <f t="shared" si="2"/>
        <v>306</v>
      </c>
      <c r="J281" s="4">
        <f t="shared" si="3"/>
        <v>5.454545455</v>
      </c>
    </row>
    <row r="282" ht="15.75" customHeight="1">
      <c r="A282" s="3" t="s">
        <v>100</v>
      </c>
      <c r="B282" s="3" t="s">
        <v>14</v>
      </c>
      <c r="C282" s="3" t="s">
        <v>12</v>
      </c>
      <c r="D282" s="3">
        <v>5.0</v>
      </c>
      <c r="E282" s="3" t="s">
        <v>13</v>
      </c>
      <c r="F282" s="3">
        <v>290.0</v>
      </c>
      <c r="G282" s="3">
        <v>350.0</v>
      </c>
      <c r="H282" s="4">
        <f t="shared" si="1"/>
        <v>1750</v>
      </c>
      <c r="I282" s="4">
        <f t="shared" si="2"/>
        <v>300</v>
      </c>
      <c r="J282" s="4">
        <f t="shared" si="3"/>
        <v>17.14285714</v>
      </c>
    </row>
    <row r="283" ht="15.75" customHeight="1">
      <c r="A283" s="3" t="s">
        <v>101</v>
      </c>
      <c r="B283" s="3" t="s">
        <v>14</v>
      </c>
      <c r="C283" s="3" t="s">
        <v>12</v>
      </c>
      <c r="D283" s="3">
        <v>25.0</v>
      </c>
      <c r="E283" s="3" t="s">
        <v>13</v>
      </c>
      <c r="F283" s="3">
        <v>290.0</v>
      </c>
      <c r="G283" s="3">
        <v>350.0</v>
      </c>
      <c r="H283" s="4">
        <f t="shared" si="1"/>
        <v>8750</v>
      </c>
      <c r="I283" s="4">
        <f t="shared" si="2"/>
        <v>1500</v>
      </c>
      <c r="J283" s="4">
        <f t="shared" si="3"/>
        <v>17.14285714</v>
      </c>
    </row>
    <row r="284" ht="15.75" customHeight="1">
      <c r="A284" s="3" t="s">
        <v>101</v>
      </c>
      <c r="B284" s="3" t="s">
        <v>30</v>
      </c>
      <c r="C284" s="3" t="s">
        <v>18</v>
      </c>
      <c r="D284" s="3">
        <v>80.0</v>
      </c>
      <c r="E284" s="3" t="s">
        <v>19</v>
      </c>
      <c r="F284" s="3">
        <v>8.0</v>
      </c>
      <c r="G284" s="3">
        <v>12.0</v>
      </c>
      <c r="H284" s="4">
        <f t="shared" si="1"/>
        <v>960</v>
      </c>
      <c r="I284" s="4">
        <f t="shared" si="2"/>
        <v>320</v>
      </c>
      <c r="J284" s="4">
        <f t="shared" si="3"/>
        <v>33.33333333</v>
      </c>
    </row>
    <row r="285" ht="15.75" customHeight="1">
      <c r="A285" s="3" t="s">
        <v>101</v>
      </c>
      <c r="B285" s="3" t="s">
        <v>32</v>
      </c>
      <c r="C285" s="3" t="s">
        <v>25</v>
      </c>
      <c r="D285" s="3">
        <v>51.0</v>
      </c>
      <c r="E285" s="3" t="s">
        <v>23</v>
      </c>
      <c r="F285" s="3">
        <v>52.0</v>
      </c>
      <c r="G285" s="3">
        <v>55.0</v>
      </c>
      <c r="H285" s="4">
        <f t="shared" si="1"/>
        <v>2805</v>
      </c>
      <c r="I285" s="4">
        <f t="shared" si="2"/>
        <v>153</v>
      </c>
      <c r="J285" s="4">
        <f t="shared" si="3"/>
        <v>5.454545455</v>
      </c>
    </row>
    <row r="286" ht="15.75" customHeight="1">
      <c r="A286" s="3" t="s">
        <v>101</v>
      </c>
      <c r="B286" s="3" t="s">
        <v>29</v>
      </c>
      <c r="C286" s="3" t="s">
        <v>29</v>
      </c>
      <c r="D286" s="3">
        <v>20.0</v>
      </c>
      <c r="E286" s="3" t="s">
        <v>27</v>
      </c>
      <c r="F286" s="3">
        <v>240.0</v>
      </c>
      <c r="G286" s="3">
        <v>280.0</v>
      </c>
      <c r="H286" s="4">
        <f t="shared" si="1"/>
        <v>5600</v>
      </c>
      <c r="I286" s="4">
        <f t="shared" si="2"/>
        <v>800</v>
      </c>
      <c r="J286" s="4">
        <f t="shared" si="3"/>
        <v>14.28571429</v>
      </c>
    </row>
    <row r="287" ht="15.75" customHeight="1">
      <c r="A287" s="3" t="s">
        <v>101</v>
      </c>
      <c r="B287" s="3" t="s">
        <v>26</v>
      </c>
      <c r="C287" s="3" t="s">
        <v>26</v>
      </c>
      <c r="D287" s="3">
        <v>5.0</v>
      </c>
      <c r="E287" s="3" t="s">
        <v>27</v>
      </c>
      <c r="F287" s="3">
        <v>180.0</v>
      </c>
      <c r="G287" s="3">
        <v>220.0</v>
      </c>
      <c r="H287" s="4">
        <f t="shared" si="1"/>
        <v>1100</v>
      </c>
      <c r="I287" s="4">
        <f t="shared" si="2"/>
        <v>200</v>
      </c>
      <c r="J287" s="4">
        <f t="shared" si="3"/>
        <v>18.18181818</v>
      </c>
    </row>
    <row r="288" ht="15.75" customHeight="1">
      <c r="A288" s="3" t="s">
        <v>101</v>
      </c>
      <c r="B288" s="3" t="s">
        <v>11</v>
      </c>
      <c r="C288" s="3" t="s">
        <v>12</v>
      </c>
      <c r="D288" s="3">
        <v>5.0</v>
      </c>
      <c r="E288" s="3" t="s">
        <v>13</v>
      </c>
      <c r="F288" s="3">
        <v>270.0</v>
      </c>
      <c r="G288" s="3">
        <v>340.0</v>
      </c>
      <c r="H288" s="4">
        <f t="shared" si="1"/>
        <v>1700</v>
      </c>
      <c r="I288" s="4">
        <f t="shared" si="2"/>
        <v>350</v>
      </c>
      <c r="J288" s="4">
        <f t="shared" si="3"/>
        <v>20.58823529</v>
      </c>
    </row>
    <row r="289" ht="15.75" customHeight="1">
      <c r="A289" s="3" t="s">
        <v>102</v>
      </c>
      <c r="B289" s="3" t="s">
        <v>20</v>
      </c>
      <c r="C289" s="3" t="s">
        <v>18</v>
      </c>
      <c r="D289" s="3">
        <v>15.0</v>
      </c>
      <c r="E289" s="3" t="s">
        <v>19</v>
      </c>
      <c r="F289" s="3">
        <v>8.0</v>
      </c>
      <c r="G289" s="3">
        <v>8.0</v>
      </c>
      <c r="H289" s="4">
        <f t="shared" si="1"/>
        <v>120</v>
      </c>
      <c r="I289" s="4">
        <f t="shared" si="2"/>
        <v>0</v>
      </c>
      <c r="J289" s="4">
        <f t="shared" si="3"/>
        <v>0</v>
      </c>
    </row>
    <row r="290" ht="15.75" customHeight="1">
      <c r="A290" s="3" t="s">
        <v>102</v>
      </c>
      <c r="B290" s="3" t="s">
        <v>15</v>
      </c>
      <c r="C290" s="3" t="s">
        <v>12</v>
      </c>
      <c r="D290" s="3">
        <v>14.0</v>
      </c>
      <c r="E290" s="3" t="s">
        <v>13</v>
      </c>
      <c r="F290" s="3">
        <v>270.0</v>
      </c>
      <c r="G290" s="3">
        <v>320.0</v>
      </c>
      <c r="H290" s="4">
        <f t="shared" si="1"/>
        <v>4480</v>
      </c>
      <c r="I290" s="4">
        <f t="shared" si="2"/>
        <v>700</v>
      </c>
      <c r="J290" s="4">
        <f t="shared" si="3"/>
        <v>15.625</v>
      </c>
    </row>
    <row r="291" ht="15.75" customHeight="1">
      <c r="A291" s="3" t="s">
        <v>102</v>
      </c>
      <c r="B291" s="3" t="s">
        <v>26</v>
      </c>
      <c r="C291" s="3" t="s">
        <v>26</v>
      </c>
      <c r="D291" s="3">
        <v>6.0</v>
      </c>
      <c r="E291" s="3" t="s">
        <v>27</v>
      </c>
      <c r="F291" s="3">
        <v>180.0</v>
      </c>
      <c r="G291" s="3">
        <v>220.0</v>
      </c>
      <c r="H291" s="4">
        <f t="shared" si="1"/>
        <v>1320</v>
      </c>
      <c r="I291" s="4">
        <f t="shared" si="2"/>
        <v>240</v>
      </c>
      <c r="J291" s="4">
        <f t="shared" si="3"/>
        <v>18.18181818</v>
      </c>
    </row>
    <row r="292" ht="15.75" customHeight="1">
      <c r="A292" s="3" t="s">
        <v>103</v>
      </c>
      <c r="B292" s="3" t="s">
        <v>30</v>
      </c>
      <c r="C292" s="3" t="s">
        <v>18</v>
      </c>
      <c r="D292" s="3">
        <v>20.0</v>
      </c>
      <c r="E292" s="3" t="s">
        <v>19</v>
      </c>
      <c r="F292" s="3">
        <v>8.0</v>
      </c>
      <c r="G292" s="3">
        <v>12.0</v>
      </c>
      <c r="H292" s="4">
        <f t="shared" si="1"/>
        <v>240</v>
      </c>
      <c r="I292" s="4">
        <f t="shared" si="2"/>
        <v>80</v>
      </c>
      <c r="J292" s="4">
        <f t="shared" si="3"/>
        <v>33.33333333</v>
      </c>
    </row>
    <row r="293" ht="15.75" customHeight="1">
      <c r="A293" s="3" t="s">
        <v>103</v>
      </c>
      <c r="B293" s="3" t="s">
        <v>15</v>
      </c>
      <c r="C293" s="3" t="s">
        <v>12</v>
      </c>
      <c r="D293" s="3">
        <v>2.0</v>
      </c>
      <c r="E293" s="3" t="s">
        <v>13</v>
      </c>
      <c r="F293" s="3">
        <v>270.0</v>
      </c>
      <c r="G293" s="3">
        <v>320.0</v>
      </c>
      <c r="H293" s="4">
        <f t="shared" si="1"/>
        <v>640</v>
      </c>
      <c r="I293" s="4">
        <f t="shared" si="2"/>
        <v>100</v>
      </c>
      <c r="J293" s="4">
        <f t="shared" si="3"/>
        <v>15.625</v>
      </c>
    </row>
    <row r="294" ht="15.75" customHeight="1">
      <c r="A294" s="3" t="s">
        <v>103</v>
      </c>
      <c r="B294" s="3" t="s">
        <v>11</v>
      </c>
      <c r="C294" s="3" t="s">
        <v>12</v>
      </c>
      <c r="D294" s="3">
        <v>20.0</v>
      </c>
      <c r="E294" s="3" t="s">
        <v>13</v>
      </c>
      <c r="F294" s="3">
        <v>270.0</v>
      </c>
      <c r="G294" s="3">
        <v>340.0</v>
      </c>
      <c r="H294" s="4">
        <f t="shared" si="1"/>
        <v>6800</v>
      </c>
      <c r="I294" s="4">
        <f t="shared" si="2"/>
        <v>1400</v>
      </c>
      <c r="J294" s="4">
        <f t="shared" si="3"/>
        <v>20.58823529</v>
      </c>
    </row>
    <row r="295" ht="15.75" customHeight="1">
      <c r="A295" s="3" t="s">
        <v>103</v>
      </c>
      <c r="B295" s="3" t="s">
        <v>17</v>
      </c>
      <c r="C295" s="3" t="s">
        <v>18</v>
      </c>
      <c r="D295" s="3">
        <v>120.0</v>
      </c>
      <c r="E295" s="3" t="s">
        <v>19</v>
      </c>
      <c r="F295" s="3">
        <v>8.0</v>
      </c>
      <c r="G295" s="3">
        <v>12.0</v>
      </c>
      <c r="H295" s="4">
        <f t="shared" si="1"/>
        <v>1440</v>
      </c>
      <c r="I295" s="4">
        <f t="shared" si="2"/>
        <v>480</v>
      </c>
      <c r="J295" s="4">
        <f t="shared" si="3"/>
        <v>33.33333333</v>
      </c>
    </row>
    <row r="296" ht="15.75" customHeight="1">
      <c r="A296" s="3" t="s">
        <v>103</v>
      </c>
      <c r="B296" s="3" t="s">
        <v>40</v>
      </c>
      <c r="C296" s="3" t="s">
        <v>12</v>
      </c>
      <c r="D296" s="3">
        <v>25.0</v>
      </c>
      <c r="E296" s="3" t="s">
        <v>13</v>
      </c>
      <c r="F296" s="3">
        <v>360.0</v>
      </c>
      <c r="G296" s="3">
        <v>410.0</v>
      </c>
      <c r="H296" s="4">
        <f t="shared" si="1"/>
        <v>10250</v>
      </c>
      <c r="I296" s="4">
        <f t="shared" si="2"/>
        <v>1250</v>
      </c>
      <c r="J296" s="4">
        <f t="shared" si="3"/>
        <v>12.19512195</v>
      </c>
    </row>
    <row r="297" ht="15.75" customHeight="1">
      <c r="A297" s="3" t="s">
        <v>104</v>
      </c>
      <c r="B297" s="3" t="s">
        <v>30</v>
      </c>
      <c r="C297" s="3" t="s">
        <v>18</v>
      </c>
      <c r="D297" s="3">
        <v>100.0</v>
      </c>
      <c r="E297" s="3" t="s">
        <v>19</v>
      </c>
      <c r="F297" s="3">
        <v>8.0</v>
      </c>
      <c r="G297" s="3">
        <v>12.0</v>
      </c>
      <c r="H297" s="4">
        <f t="shared" si="1"/>
        <v>1200</v>
      </c>
      <c r="I297" s="4">
        <f t="shared" si="2"/>
        <v>400</v>
      </c>
      <c r="J297" s="4">
        <f t="shared" si="3"/>
        <v>33.33333333</v>
      </c>
    </row>
    <row r="298" ht="15.75" customHeight="1">
      <c r="A298" s="3" t="s">
        <v>104</v>
      </c>
      <c r="B298" s="3" t="s">
        <v>21</v>
      </c>
      <c r="C298" s="3" t="s">
        <v>22</v>
      </c>
      <c r="D298" s="3">
        <v>5.0</v>
      </c>
      <c r="E298" s="3" t="s">
        <v>23</v>
      </c>
      <c r="F298" s="3">
        <v>70.0</v>
      </c>
      <c r="G298" s="3">
        <v>76.0</v>
      </c>
      <c r="H298" s="4">
        <f t="shared" si="1"/>
        <v>380</v>
      </c>
      <c r="I298" s="4">
        <f t="shared" si="2"/>
        <v>30</v>
      </c>
      <c r="J298" s="4">
        <f t="shared" si="3"/>
        <v>7.894736842</v>
      </c>
    </row>
    <row r="299" ht="15.75" customHeight="1">
      <c r="A299" s="3" t="s">
        <v>104</v>
      </c>
      <c r="B299" s="3" t="s">
        <v>32</v>
      </c>
      <c r="C299" s="3" t="s">
        <v>25</v>
      </c>
      <c r="D299" s="3">
        <v>51.0</v>
      </c>
      <c r="E299" s="3" t="s">
        <v>23</v>
      </c>
      <c r="F299" s="3">
        <v>52.0</v>
      </c>
      <c r="G299" s="3">
        <v>55.0</v>
      </c>
      <c r="H299" s="4">
        <f t="shared" si="1"/>
        <v>2805</v>
      </c>
      <c r="I299" s="4">
        <f t="shared" si="2"/>
        <v>153</v>
      </c>
      <c r="J299" s="4">
        <f t="shared" si="3"/>
        <v>5.454545455</v>
      </c>
    </row>
    <row r="300" ht="15.75" customHeight="1">
      <c r="A300" s="3" t="s">
        <v>104</v>
      </c>
      <c r="B300" s="3" t="s">
        <v>17</v>
      </c>
      <c r="C300" s="3" t="s">
        <v>18</v>
      </c>
      <c r="D300" s="3">
        <v>50.0</v>
      </c>
      <c r="E300" s="3" t="s">
        <v>19</v>
      </c>
      <c r="F300" s="3">
        <v>8.0</v>
      </c>
      <c r="G300" s="3">
        <v>12.0</v>
      </c>
      <c r="H300" s="4">
        <f t="shared" si="1"/>
        <v>600</v>
      </c>
      <c r="I300" s="4">
        <f t="shared" si="2"/>
        <v>200</v>
      </c>
      <c r="J300" s="4">
        <f t="shared" si="3"/>
        <v>33.33333333</v>
      </c>
    </row>
    <row r="301" ht="15.75" customHeight="1">
      <c r="A301" s="3" t="s">
        <v>104</v>
      </c>
      <c r="B301" s="3" t="s">
        <v>20</v>
      </c>
      <c r="C301" s="3" t="s">
        <v>18</v>
      </c>
      <c r="D301" s="3">
        <v>25.0</v>
      </c>
      <c r="E301" s="3" t="s">
        <v>19</v>
      </c>
      <c r="F301" s="3">
        <v>8.0</v>
      </c>
      <c r="G301" s="3">
        <v>8.0</v>
      </c>
      <c r="H301" s="4">
        <f t="shared" si="1"/>
        <v>200</v>
      </c>
      <c r="I301" s="4">
        <f t="shared" si="2"/>
        <v>0</v>
      </c>
      <c r="J301" s="4">
        <f t="shared" si="3"/>
        <v>0</v>
      </c>
    </row>
    <row r="302" ht="15.75" customHeight="1">
      <c r="A302" s="3" t="s">
        <v>104</v>
      </c>
      <c r="B302" s="3" t="s">
        <v>26</v>
      </c>
      <c r="C302" s="3" t="s">
        <v>26</v>
      </c>
      <c r="D302" s="3">
        <v>10.0</v>
      </c>
      <c r="E302" s="3" t="s">
        <v>27</v>
      </c>
      <c r="F302" s="3">
        <v>180.0</v>
      </c>
      <c r="G302" s="3">
        <v>220.0</v>
      </c>
      <c r="H302" s="4">
        <f t="shared" si="1"/>
        <v>2200</v>
      </c>
      <c r="I302" s="4">
        <f t="shared" si="2"/>
        <v>400</v>
      </c>
      <c r="J302" s="4">
        <f t="shared" si="3"/>
        <v>18.18181818</v>
      </c>
    </row>
    <row r="303" ht="15.75" customHeight="1">
      <c r="A303" s="3" t="s">
        <v>105</v>
      </c>
      <c r="B303" s="3" t="s">
        <v>15</v>
      </c>
      <c r="C303" s="3" t="s">
        <v>12</v>
      </c>
      <c r="D303" s="3">
        <v>3.0</v>
      </c>
      <c r="E303" s="3" t="s">
        <v>13</v>
      </c>
      <c r="F303" s="3">
        <v>270.0</v>
      </c>
      <c r="G303" s="3">
        <v>320.0</v>
      </c>
      <c r="H303" s="4">
        <f t="shared" si="1"/>
        <v>960</v>
      </c>
      <c r="I303" s="4">
        <f t="shared" si="2"/>
        <v>150</v>
      </c>
      <c r="J303" s="4">
        <f t="shared" si="3"/>
        <v>15.625</v>
      </c>
    </row>
    <row r="304" ht="15.75" customHeight="1">
      <c r="A304" s="3" t="s">
        <v>105</v>
      </c>
      <c r="B304" s="3" t="s">
        <v>14</v>
      </c>
      <c r="C304" s="3" t="s">
        <v>12</v>
      </c>
      <c r="D304" s="3">
        <v>3.0</v>
      </c>
      <c r="E304" s="3" t="s">
        <v>13</v>
      </c>
      <c r="F304" s="3">
        <v>290.0</v>
      </c>
      <c r="G304" s="3">
        <v>350.0</v>
      </c>
      <c r="H304" s="4">
        <f t="shared" si="1"/>
        <v>1050</v>
      </c>
      <c r="I304" s="4">
        <f t="shared" si="2"/>
        <v>180</v>
      </c>
      <c r="J304" s="4">
        <f t="shared" si="3"/>
        <v>17.14285714</v>
      </c>
    </row>
    <row r="305" ht="15.75" customHeight="1">
      <c r="A305" s="3" t="s">
        <v>105</v>
      </c>
      <c r="B305" s="3" t="s">
        <v>20</v>
      </c>
      <c r="C305" s="3" t="s">
        <v>18</v>
      </c>
      <c r="D305" s="3">
        <v>25.0</v>
      </c>
      <c r="E305" s="3" t="s">
        <v>19</v>
      </c>
      <c r="F305" s="3">
        <v>8.0</v>
      </c>
      <c r="G305" s="3">
        <v>8.0</v>
      </c>
      <c r="H305" s="4">
        <f t="shared" si="1"/>
        <v>200</v>
      </c>
      <c r="I305" s="4">
        <f t="shared" si="2"/>
        <v>0</v>
      </c>
      <c r="J305" s="4">
        <f t="shared" si="3"/>
        <v>0</v>
      </c>
    </row>
    <row r="306" ht="15.75" customHeight="1">
      <c r="A306" s="3" t="s">
        <v>105</v>
      </c>
      <c r="B306" s="3" t="s">
        <v>32</v>
      </c>
      <c r="C306" s="3" t="s">
        <v>25</v>
      </c>
      <c r="D306" s="3">
        <v>102.0</v>
      </c>
      <c r="E306" s="3" t="s">
        <v>23</v>
      </c>
      <c r="F306" s="3">
        <v>52.0</v>
      </c>
      <c r="G306" s="3">
        <v>55.0</v>
      </c>
      <c r="H306" s="4">
        <f t="shared" si="1"/>
        <v>5610</v>
      </c>
      <c r="I306" s="4">
        <f t="shared" si="2"/>
        <v>306</v>
      </c>
      <c r="J306" s="4">
        <f t="shared" si="3"/>
        <v>5.454545455</v>
      </c>
    </row>
    <row r="307" ht="15.75" customHeight="1">
      <c r="A307" s="3" t="s">
        <v>106</v>
      </c>
      <c r="B307" s="3" t="s">
        <v>26</v>
      </c>
      <c r="C307" s="3" t="s">
        <v>26</v>
      </c>
      <c r="D307" s="3">
        <v>20.0</v>
      </c>
      <c r="E307" s="3" t="s">
        <v>27</v>
      </c>
      <c r="F307" s="3">
        <v>180.0</v>
      </c>
      <c r="G307" s="3">
        <v>220.0</v>
      </c>
      <c r="H307" s="4">
        <f t="shared" si="1"/>
        <v>4400</v>
      </c>
      <c r="I307" s="4">
        <f t="shared" si="2"/>
        <v>800</v>
      </c>
      <c r="J307" s="4">
        <f t="shared" si="3"/>
        <v>18.18181818</v>
      </c>
    </row>
    <row r="308" ht="15.75" customHeight="1">
      <c r="A308" s="3" t="s">
        <v>106</v>
      </c>
      <c r="B308" s="3" t="s">
        <v>15</v>
      </c>
      <c r="C308" s="3" t="s">
        <v>12</v>
      </c>
      <c r="D308" s="3">
        <v>100.0</v>
      </c>
      <c r="E308" s="3" t="s">
        <v>13</v>
      </c>
      <c r="F308" s="3">
        <v>270.0</v>
      </c>
      <c r="G308" s="3">
        <v>320.0</v>
      </c>
      <c r="H308" s="4">
        <f t="shared" si="1"/>
        <v>32000</v>
      </c>
      <c r="I308" s="4">
        <f t="shared" si="2"/>
        <v>5000</v>
      </c>
      <c r="J308" s="4">
        <f t="shared" si="3"/>
        <v>15.625</v>
      </c>
    </row>
    <row r="309" ht="15.75" customHeight="1">
      <c r="A309" s="3" t="s">
        <v>106</v>
      </c>
      <c r="B309" s="3" t="s">
        <v>32</v>
      </c>
      <c r="C309" s="3" t="s">
        <v>25</v>
      </c>
      <c r="D309" s="3">
        <v>51.0</v>
      </c>
      <c r="E309" s="3" t="s">
        <v>23</v>
      </c>
      <c r="F309" s="3">
        <v>52.0</v>
      </c>
      <c r="G309" s="3">
        <v>55.0</v>
      </c>
      <c r="H309" s="4">
        <f t="shared" si="1"/>
        <v>2805</v>
      </c>
      <c r="I309" s="4">
        <f t="shared" si="2"/>
        <v>153</v>
      </c>
      <c r="J309" s="4">
        <f t="shared" si="3"/>
        <v>5.454545455</v>
      </c>
    </row>
    <row r="310" ht="15.75" customHeight="1">
      <c r="A310" s="3" t="s">
        <v>106</v>
      </c>
      <c r="B310" s="3" t="s">
        <v>30</v>
      </c>
      <c r="C310" s="3" t="s">
        <v>18</v>
      </c>
      <c r="D310" s="3">
        <v>300.0</v>
      </c>
      <c r="E310" s="3" t="s">
        <v>19</v>
      </c>
      <c r="F310" s="3">
        <v>8.0</v>
      </c>
      <c r="G310" s="3">
        <v>12.0</v>
      </c>
      <c r="H310" s="4">
        <f t="shared" si="1"/>
        <v>3600</v>
      </c>
      <c r="I310" s="4">
        <f t="shared" si="2"/>
        <v>1200</v>
      </c>
      <c r="J310" s="4">
        <f t="shared" si="3"/>
        <v>33.33333333</v>
      </c>
    </row>
    <row r="311" ht="15.75" customHeight="1">
      <c r="A311" s="3" t="s">
        <v>106</v>
      </c>
      <c r="B311" s="3" t="s">
        <v>14</v>
      </c>
      <c r="C311" s="3" t="s">
        <v>12</v>
      </c>
      <c r="D311" s="3">
        <v>20.0</v>
      </c>
      <c r="E311" s="3" t="s">
        <v>13</v>
      </c>
      <c r="F311" s="3">
        <v>290.0</v>
      </c>
      <c r="G311" s="3">
        <v>350.0</v>
      </c>
      <c r="H311" s="4">
        <f t="shared" si="1"/>
        <v>7000</v>
      </c>
      <c r="I311" s="4">
        <f t="shared" si="2"/>
        <v>1200</v>
      </c>
      <c r="J311" s="4">
        <f t="shared" si="3"/>
        <v>17.14285714</v>
      </c>
    </row>
    <row r="312" ht="15.75" customHeight="1">
      <c r="A312" s="3" t="s">
        <v>107</v>
      </c>
      <c r="B312" s="3" t="s">
        <v>14</v>
      </c>
      <c r="C312" s="3" t="s">
        <v>12</v>
      </c>
      <c r="D312" s="3">
        <v>4.0</v>
      </c>
      <c r="E312" s="3" t="s">
        <v>13</v>
      </c>
      <c r="F312" s="3">
        <v>290.0</v>
      </c>
      <c r="G312" s="3">
        <v>350.0</v>
      </c>
      <c r="H312" s="4">
        <f t="shared" si="1"/>
        <v>1400</v>
      </c>
      <c r="I312" s="4">
        <f t="shared" si="2"/>
        <v>240</v>
      </c>
      <c r="J312" s="4">
        <f t="shared" si="3"/>
        <v>17.14285714</v>
      </c>
    </row>
    <row r="313" ht="15.75" customHeight="1">
      <c r="A313" s="3" t="s">
        <v>107</v>
      </c>
      <c r="B313" s="3" t="s">
        <v>30</v>
      </c>
      <c r="C313" s="3" t="s">
        <v>18</v>
      </c>
      <c r="D313" s="3">
        <v>140.0</v>
      </c>
      <c r="E313" s="3" t="s">
        <v>19</v>
      </c>
      <c r="F313" s="3">
        <v>8.0</v>
      </c>
      <c r="G313" s="3">
        <v>12.0</v>
      </c>
      <c r="H313" s="4">
        <f t="shared" si="1"/>
        <v>1680</v>
      </c>
      <c r="I313" s="4">
        <f t="shared" si="2"/>
        <v>560</v>
      </c>
      <c r="J313" s="4">
        <f t="shared" si="3"/>
        <v>33.33333333</v>
      </c>
    </row>
    <row r="314" ht="15.75" customHeight="1">
      <c r="A314" s="3" t="s">
        <v>107</v>
      </c>
      <c r="B314" s="3" t="s">
        <v>26</v>
      </c>
      <c r="C314" s="3" t="s">
        <v>26</v>
      </c>
      <c r="D314" s="3">
        <v>6.0</v>
      </c>
      <c r="E314" s="3" t="s">
        <v>27</v>
      </c>
      <c r="F314" s="3">
        <v>180.0</v>
      </c>
      <c r="G314" s="3">
        <v>220.0</v>
      </c>
      <c r="H314" s="4">
        <f t="shared" si="1"/>
        <v>1320</v>
      </c>
      <c r="I314" s="4">
        <f t="shared" si="2"/>
        <v>240</v>
      </c>
      <c r="J314" s="4">
        <f t="shared" si="3"/>
        <v>18.18181818</v>
      </c>
    </row>
    <row r="315" ht="15.75" customHeight="1">
      <c r="A315" s="3" t="s">
        <v>107</v>
      </c>
      <c r="B315" s="3" t="s">
        <v>29</v>
      </c>
      <c r="C315" s="3" t="s">
        <v>29</v>
      </c>
      <c r="D315" s="3">
        <v>15.0</v>
      </c>
      <c r="E315" s="3" t="s">
        <v>27</v>
      </c>
      <c r="F315" s="3">
        <v>240.0</v>
      </c>
      <c r="G315" s="3">
        <v>280.0</v>
      </c>
      <c r="H315" s="4">
        <f t="shared" si="1"/>
        <v>4200</v>
      </c>
      <c r="I315" s="4">
        <f t="shared" si="2"/>
        <v>600</v>
      </c>
      <c r="J315" s="4">
        <f t="shared" si="3"/>
        <v>14.28571429</v>
      </c>
    </row>
    <row r="316" ht="15.75" customHeight="1">
      <c r="A316" s="3" t="s">
        <v>108</v>
      </c>
      <c r="B316" s="3" t="s">
        <v>20</v>
      </c>
      <c r="C316" s="3" t="s">
        <v>18</v>
      </c>
      <c r="D316" s="3">
        <v>25.0</v>
      </c>
      <c r="E316" s="3" t="s">
        <v>19</v>
      </c>
      <c r="F316" s="3">
        <v>8.0</v>
      </c>
      <c r="G316" s="3">
        <v>8.0</v>
      </c>
      <c r="H316" s="4">
        <f t="shared" si="1"/>
        <v>200</v>
      </c>
      <c r="I316" s="4">
        <f t="shared" si="2"/>
        <v>0</v>
      </c>
      <c r="J316" s="4">
        <f t="shared" si="3"/>
        <v>0</v>
      </c>
    </row>
    <row r="317" ht="15.75" customHeight="1">
      <c r="A317" s="3" t="s">
        <v>108</v>
      </c>
      <c r="B317" s="3" t="s">
        <v>32</v>
      </c>
      <c r="C317" s="3" t="s">
        <v>25</v>
      </c>
      <c r="D317" s="3">
        <v>51.0</v>
      </c>
      <c r="E317" s="3" t="s">
        <v>23</v>
      </c>
      <c r="F317" s="3">
        <v>52.0</v>
      </c>
      <c r="G317" s="3">
        <v>55.0</v>
      </c>
      <c r="H317" s="4">
        <f t="shared" si="1"/>
        <v>2805</v>
      </c>
      <c r="I317" s="4">
        <f t="shared" si="2"/>
        <v>153</v>
      </c>
      <c r="J317" s="4">
        <f t="shared" si="3"/>
        <v>5.454545455</v>
      </c>
    </row>
    <row r="318" ht="15.75" customHeight="1">
      <c r="A318" s="3" t="s">
        <v>108</v>
      </c>
      <c r="B318" s="3" t="s">
        <v>24</v>
      </c>
      <c r="C318" s="3" t="s">
        <v>25</v>
      </c>
      <c r="D318" s="3">
        <v>142.0</v>
      </c>
      <c r="E318" s="3" t="s">
        <v>23</v>
      </c>
      <c r="F318" s="3">
        <v>52.0</v>
      </c>
      <c r="G318" s="3">
        <v>55.0</v>
      </c>
      <c r="H318" s="4">
        <f t="shared" si="1"/>
        <v>7810</v>
      </c>
      <c r="I318" s="4">
        <f t="shared" si="2"/>
        <v>426</v>
      </c>
      <c r="J318" s="4">
        <f t="shared" si="3"/>
        <v>5.454545455</v>
      </c>
    </row>
    <row r="319" ht="15.75" customHeight="1">
      <c r="A319" s="3" t="s">
        <v>109</v>
      </c>
      <c r="B319" s="3" t="s">
        <v>29</v>
      </c>
      <c r="C319" s="3" t="s">
        <v>29</v>
      </c>
      <c r="D319" s="3">
        <v>30.0</v>
      </c>
      <c r="E319" s="3" t="s">
        <v>27</v>
      </c>
      <c r="F319" s="3">
        <v>240.0</v>
      </c>
      <c r="G319" s="3">
        <v>280.0</v>
      </c>
      <c r="H319" s="4">
        <f t="shared" si="1"/>
        <v>8400</v>
      </c>
      <c r="I319" s="4">
        <f t="shared" si="2"/>
        <v>1200</v>
      </c>
      <c r="J319" s="4">
        <f t="shared" si="3"/>
        <v>14.28571429</v>
      </c>
    </row>
    <row r="320" ht="15.75" customHeight="1">
      <c r="A320" s="3" t="s">
        <v>109</v>
      </c>
      <c r="B320" s="3" t="s">
        <v>42</v>
      </c>
      <c r="C320" s="3" t="s">
        <v>43</v>
      </c>
      <c r="D320" s="3">
        <v>2.0</v>
      </c>
      <c r="E320" s="3" t="s">
        <v>19</v>
      </c>
      <c r="F320" s="3">
        <v>360.0</v>
      </c>
      <c r="G320" s="3">
        <v>400.0</v>
      </c>
      <c r="H320" s="4">
        <f t="shared" si="1"/>
        <v>800</v>
      </c>
      <c r="I320" s="4">
        <f t="shared" si="2"/>
        <v>80</v>
      </c>
      <c r="J320" s="4">
        <f t="shared" si="3"/>
        <v>10</v>
      </c>
    </row>
    <row r="321" ht="15.75" customHeight="1">
      <c r="A321" s="3" t="s">
        <v>109</v>
      </c>
      <c r="B321" s="3" t="s">
        <v>15</v>
      </c>
      <c r="C321" s="3" t="s">
        <v>12</v>
      </c>
      <c r="D321" s="3">
        <v>2.0</v>
      </c>
      <c r="E321" s="3" t="s">
        <v>13</v>
      </c>
      <c r="F321" s="3">
        <v>270.0</v>
      </c>
      <c r="G321" s="3">
        <v>320.0</v>
      </c>
      <c r="H321" s="4">
        <f t="shared" si="1"/>
        <v>640</v>
      </c>
      <c r="I321" s="4">
        <f t="shared" si="2"/>
        <v>100</v>
      </c>
      <c r="J321" s="4">
        <f t="shared" si="3"/>
        <v>15.625</v>
      </c>
    </row>
    <row r="322" ht="15.75" customHeight="1">
      <c r="A322" s="3" t="s">
        <v>109</v>
      </c>
      <c r="B322" s="3" t="s">
        <v>11</v>
      </c>
      <c r="C322" s="3" t="s">
        <v>12</v>
      </c>
      <c r="D322" s="3">
        <v>20.0</v>
      </c>
      <c r="E322" s="3" t="s">
        <v>13</v>
      </c>
      <c r="F322" s="3">
        <v>270.0</v>
      </c>
      <c r="G322" s="3">
        <v>330.0</v>
      </c>
      <c r="H322" s="4">
        <f t="shared" si="1"/>
        <v>6600</v>
      </c>
      <c r="I322" s="4">
        <f t="shared" si="2"/>
        <v>1200</v>
      </c>
      <c r="J322" s="4">
        <f t="shared" si="3"/>
        <v>18.18181818</v>
      </c>
    </row>
    <row r="323" ht="15.75" customHeight="1">
      <c r="A323" s="3" t="s">
        <v>109</v>
      </c>
      <c r="B323" s="3" t="s">
        <v>17</v>
      </c>
      <c r="C323" s="3" t="s">
        <v>18</v>
      </c>
      <c r="D323" s="3">
        <v>110.0</v>
      </c>
      <c r="E323" s="3" t="s">
        <v>19</v>
      </c>
      <c r="F323" s="3">
        <v>8.0</v>
      </c>
      <c r="G323" s="3">
        <v>12.0</v>
      </c>
      <c r="H323" s="4">
        <f t="shared" si="1"/>
        <v>1320</v>
      </c>
      <c r="I323" s="4">
        <f t="shared" si="2"/>
        <v>440</v>
      </c>
      <c r="J323" s="4">
        <f t="shared" si="3"/>
        <v>33.33333333</v>
      </c>
    </row>
    <row r="324" ht="15.75" customHeight="1">
      <c r="A324" s="3" t="s">
        <v>110</v>
      </c>
      <c r="B324" s="3" t="s">
        <v>15</v>
      </c>
      <c r="C324" s="3" t="s">
        <v>12</v>
      </c>
      <c r="D324" s="3">
        <v>3.0</v>
      </c>
      <c r="E324" s="3" t="s">
        <v>13</v>
      </c>
      <c r="F324" s="3">
        <v>270.0</v>
      </c>
      <c r="G324" s="3">
        <v>320.0</v>
      </c>
      <c r="H324" s="4">
        <f t="shared" si="1"/>
        <v>960</v>
      </c>
      <c r="I324" s="4">
        <f t="shared" si="2"/>
        <v>150</v>
      </c>
      <c r="J324" s="4">
        <f t="shared" si="3"/>
        <v>15.625</v>
      </c>
    </row>
    <row r="325" ht="15.75" customHeight="1">
      <c r="A325" s="3" t="s">
        <v>110</v>
      </c>
      <c r="B325" s="3" t="s">
        <v>29</v>
      </c>
      <c r="C325" s="3" t="s">
        <v>29</v>
      </c>
      <c r="D325" s="3">
        <v>5.0</v>
      </c>
      <c r="E325" s="3" t="s">
        <v>27</v>
      </c>
      <c r="F325" s="3">
        <v>240.0</v>
      </c>
      <c r="G325" s="3">
        <v>280.0</v>
      </c>
      <c r="H325" s="4">
        <f t="shared" si="1"/>
        <v>1400</v>
      </c>
      <c r="I325" s="4">
        <f t="shared" si="2"/>
        <v>200</v>
      </c>
      <c r="J325" s="4">
        <f t="shared" si="3"/>
        <v>14.28571429</v>
      </c>
    </row>
    <row r="326" ht="15.75" customHeight="1">
      <c r="A326" s="3" t="s">
        <v>110</v>
      </c>
      <c r="B326" s="3" t="s">
        <v>11</v>
      </c>
      <c r="C326" s="3" t="s">
        <v>12</v>
      </c>
      <c r="D326" s="3">
        <v>1.0</v>
      </c>
      <c r="E326" s="3" t="s">
        <v>13</v>
      </c>
      <c r="F326" s="3">
        <v>270.0</v>
      </c>
      <c r="G326" s="3">
        <v>330.0</v>
      </c>
      <c r="H326" s="4">
        <f t="shared" si="1"/>
        <v>330</v>
      </c>
      <c r="I326" s="4">
        <f t="shared" si="2"/>
        <v>60</v>
      </c>
      <c r="J326" s="4">
        <f t="shared" si="3"/>
        <v>18.18181818</v>
      </c>
    </row>
    <row r="327" ht="15.75" customHeight="1">
      <c r="A327" s="3" t="s">
        <v>111</v>
      </c>
      <c r="B327" s="3" t="s">
        <v>24</v>
      </c>
      <c r="C327" s="3" t="s">
        <v>25</v>
      </c>
      <c r="D327" s="3">
        <v>71.0</v>
      </c>
      <c r="E327" s="3" t="s">
        <v>23</v>
      </c>
      <c r="F327" s="3">
        <v>51.0</v>
      </c>
      <c r="G327" s="3">
        <v>55.0</v>
      </c>
      <c r="H327" s="4">
        <f t="shared" si="1"/>
        <v>3905</v>
      </c>
      <c r="I327" s="4">
        <f t="shared" si="2"/>
        <v>284</v>
      </c>
      <c r="J327" s="4">
        <f t="shared" si="3"/>
        <v>7.272727273</v>
      </c>
    </row>
    <row r="328" ht="15.75" customHeight="1">
      <c r="A328" s="3" t="s">
        <v>111</v>
      </c>
      <c r="B328" s="3" t="s">
        <v>20</v>
      </c>
      <c r="C328" s="3" t="s">
        <v>18</v>
      </c>
      <c r="D328" s="3">
        <v>22.0</v>
      </c>
      <c r="E328" s="3" t="s">
        <v>19</v>
      </c>
      <c r="F328" s="3">
        <v>8.0</v>
      </c>
      <c r="G328" s="3">
        <v>9.0</v>
      </c>
      <c r="H328" s="4">
        <f t="shared" si="1"/>
        <v>198</v>
      </c>
      <c r="I328" s="4">
        <f t="shared" si="2"/>
        <v>22</v>
      </c>
      <c r="J328" s="4">
        <f t="shared" si="3"/>
        <v>11.11111111</v>
      </c>
    </row>
    <row r="329" ht="15.75" customHeight="1">
      <c r="A329" s="3" t="s">
        <v>111</v>
      </c>
      <c r="B329" s="3" t="s">
        <v>30</v>
      </c>
      <c r="C329" s="3" t="s">
        <v>18</v>
      </c>
      <c r="D329" s="3">
        <v>70.0</v>
      </c>
      <c r="E329" s="3" t="s">
        <v>19</v>
      </c>
      <c r="F329" s="3">
        <v>8.0</v>
      </c>
      <c r="G329" s="3">
        <v>12.0</v>
      </c>
      <c r="H329" s="4">
        <f t="shared" si="1"/>
        <v>840</v>
      </c>
      <c r="I329" s="4">
        <f t="shared" si="2"/>
        <v>280</v>
      </c>
      <c r="J329" s="4">
        <f t="shared" si="3"/>
        <v>33.33333333</v>
      </c>
    </row>
    <row r="330" ht="15.75" customHeight="1">
      <c r="A330" s="3" t="s">
        <v>112</v>
      </c>
      <c r="B330" s="3" t="s">
        <v>11</v>
      </c>
      <c r="C330" s="3" t="s">
        <v>12</v>
      </c>
      <c r="D330" s="3">
        <v>10.0</v>
      </c>
      <c r="E330" s="3" t="s">
        <v>13</v>
      </c>
      <c r="F330" s="3">
        <v>270.0</v>
      </c>
      <c r="G330" s="3">
        <v>330.0</v>
      </c>
      <c r="H330" s="4">
        <f t="shared" si="1"/>
        <v>3300</v>
      </c>
      <c r="I330" s="4">
        <f t="shared" si="2"/>
        <v>600</v>
      </c>
      <c r="J330" s="4">
        <f t="shared" si="3"/>
        <v>18.18181818</v>
      </c>
    </row>
    <row r="331" ht="15.75" customHeight="1">
      <c r="A331" s="3" t="s">
        <v>112</v>
      </c>
      <c r="B331" s="3" t="s">
        <v>26</v>
      </c>
      <c r="C331" s="3" t="s">
        <v>26</v>
      </c>
      <c r="D331" s="3">
        <v>1.0</v>
      </c>
      <c r="E331" s="3" t="s">
        <v>27</v>
      </c>
      <c r="F331" s="3">
        <v>180.0</v>
      </c>
      <c r="G331" s="3">
        <v>220.0</v>
      </c>
      <c r="H331" s="4">
        <f t="shared" si="1"/>
        <v>220</v>
      </c>
      <c r="I331" s="4">
        <f t="shared" si="2"/>
        <v>40</v>
      </c>
      <c r="J331" s="4">
        <f t="shared" si="3"/>
        <v>18.18181818</v>
      </c>
    </row>
    <row r="332" ht="15.75" customHeight="1">
      <c r="A332" s="3" t="s">
        <v>112</v>
      </c>
      <c r="B332" s="3" t="s">
        <v>17</v>
      </c>
      <c r="C332" s="3" t="s">
        <v>18</v>
      </c>
      <c r="D332" s="3">
        <v>130.0</v>
      </c>
      <c r="E332" s="3" t="s">
        <v>19</v>
      </c>
      <c r="F332" s="3">
        <v>8.0</v>
      </c>
      <c r="G332" s="3">
        <v>12.0</v>
      </c>
      <c r="H332" s="4">
        <f t="shared" si="1"/>
        <v>1560</v>
      </c>
      <c r="I332" s="4">
        <f t="shared" si="2"/>
        <v>520</v>
      </c>
      <c r="J332" s="4">
        <f t="shared" si="3"/>
        <v>33.33333333</v>
      </c>
    </row>
    <row r="333" ht="15.75" customHeight="1">
      <c r="A333" s="3" t="s">
        <v>113</v>
      </c>
      <c r="B333" s="3" t="s">
        <v>29</v>
      </c>
      <c r="C333" s="3" t="s">
        <v>29</v>
      </c>
      <c r="D333" s="3">
        <v>4.0</v>
      </c>
      <c r="E333" s="3" t="s">
        <v>27</v>
      </c>
      <c r="F333" s="3">
        <v>240.0</v>
      </c>
      <c r="G333" s="3">
        <v>280.0</v>
      </c>
      <c r="H333" s="4">
        <f t="shared" si="1"/>
        <v>1120</v>
      </c>
      <c r="I333" s="4">
        <f t="shared" si="2"/>
        <v>160</v>
      </c>
      <c r="J333" s="4">
        <f t="shared" si="3"/>
        <v>14.28571429</v>
      </c>
    </row>
    <row r="334" ht="15.75" customHeight="1">
      <c r="A334" s="3" t="s">
        <v>113</v>
      </c>
      <c r="B334" s="3" t="s">
        <v>20</v>
      </c>
      <c r="C334" s="3" t="s">
        <v>18</v>
      </c>
      <c r="D334" s="3">
        <v>20.0</v>
      </c>
      <c r="E334" s="3" t="s">
        <v>19</v>
      </c>
      <c r="F334" s="3">
        <v>8.0</v>
      </c>
      <c r="G334" s="3">
        <v>8.0</v>
      </c>
      <c r="H334" s="4">
        <f t="shared" si="1"/>
        <v>160</v>
      </c>
      <c r="I334" s="4">
        <f t="shared" si="2"/>
        <v>0</v>
      </c>
      <c r="J334" s="4">
        <f t="shared" si="3"/>
        <v>0</v>
      </c>
    </row>
    <row r="335" ht="15.75" customHeight="1">
      <c r="A335" s="3" t="s">
        <v>113</v>
      </c>
      <c r="B335" s="3" t="s">
        <v>15</v>
      </c>
      <c r="C335" s="3" t="s">
        <v>12</v>
      </c>
      <c r="D335" s="3">
        <v>3.0</v>
      </c>
      <c r="E335" s="3" t="s">
        <v>13</v>
      </c>
      <c r="F335" s="3">
        <v>270.0</v>
      </c>
      <c r="G335" s="3">
        <v>320.0</v>
      </c>
      <c r="H335" s="4">
        <f t="shared" si="1"/>
        <v>960</v>
      </c>
      <c r="I335" s="4">
        <f t="shared" si="2"/>
        <v>150</v>
      </c>
      <c r="J335" s="4">
        <f t="shared" si="3"/>
        <v>15.625</v>
      </c>
    </row>
    <row r="336" ht="15.75" customHeight="1">
      <c r="A336" s="3" t="s">
        <v>113</v>
      </c>
      <c r="B336" s="3" t="s">
        <v>32</v>
      </c>
      <c r="C336" s="3" t="s">
        <v>25</v>
      </c>
      <c r="D336" s="3">
        <v>102.0</v>
      </c>
      <c r="E336" s="3" t="s">
        <v>23</v>
      </c>
      <c r="F336" s="3">
        <v>52.0</v>
      </c>
      <c r="G336" s="3">
        <v>55.0</v>
      </c>
      <c r="H336" s="4">
        <f t="shared" si="1"/>
        <v>5610</v>
      </c>
      <c r="I336" s="4">
        <f t="shared" si="2"/>
        <v>306</v>
      </c>
      <c r="J336" s="4">
        <f t="shared" si="3"/>
        <v>5.454545455</v>
      </c>
    </row>
    <row r="337" ht="15.75" customHeight="1">
      <c r="A337" s="3" t="s">
        <v>113</v>
      </c>
      <c r="B337" s="3" t="s">
        <v>30</v>
      </c>
      <c r="C337" s="3" t="s">
        <v>18</v>
      </c>
      <c r="D337" s="3">
        <v>75.0</v>
      </c>
      <c r="E337" s="3" t="s">
        <v>19</v>
      </c>
      <c r="F337" s="3">
        <v>8.0</v>
      </c>
      <c r="G337" s="3">
        <v>12.0</v>
      </c>
      <c r="H337" s="4">
        <f t="shared" si="1"/>
        <v>900</v>
      </c>
      <c r="I337" s="4">
        <f t="shared" si="2"/>
        <v>300</v>
      </c>
      <c r="J337" s="4">
        <f t="shared" si="3"/>
        <v>33.33333333</v>
      </c>
    </row>
    <row r="338" ht="15.75" customHeight="1">
      <c r="A338" s="3" t="s">
        <v>114</v>
      </c>
      <c r="B338" s="3" t="s">
        <v>15</v>
      </c>
      <c r="C338" s="3" t="s">
        <v>12</v>
      </c>
      <c r="D338" s="3">
        <v>40.0</v>
      </c>
      <c r="E338" s="3" t="s">
        <v>13</v>
      </c>
      <c r="F338" s="3">
        <v>270.0</v>
      </c>
      <c r="G338" s="3">
        <v>320.0</v>
      </c>
      <c r="H338" s="4">
        <f t="shared" si="1"/>
        <v>12800</v>
      </c>
      <c r="I338" s="4">
        <f t="shared" si="2"/>
        <v>2000</v>
      </c>
      <c r="J338" s="4">
        <f t="shared" si="3"/>
        <v>15.625</v>
      </c>
    </row>
    <row r="339" ht="15.75" customHeight="1">
      <c r="A339" s="3" t="s">
        <v>114</v>
      </c>
      <c r="B339" s="3" t="s">
        <v>30</v>
      </c>
      <c r="C339" s="3" t="s">
        <v>18</v>
      </c>
      <c r="D339" s="3">
        <v>150.0</v>
      </c>
      <c r="E339" s="3" t="s">
        <v>19</v>
      </c>
      <c r="F339" s="3">
        <v>8.0</v>
      </c>
      <c r="G339" s="3">
        <v>12.0</v>
      </c>
      <c r="H339" s="4">
        <f t="shared" si="1"/>
        <v>1800</v>
      </c>
      <c r="I339" s="4">
        <f t="shared" si="2"/>
        <v>600</v>
      </c>
      <c r="J339" s="4">
        <f t="shared" si="3"/>
        <v>33.33333333</v>
      </c>
    </row>
    <row r="340" ht="15.75" customHeight="1">
      <c r="A340" s="3" t="s">
        <v>114</v>
      </c>
      <c r="B340" s="3" t="s">
        <v>29</v>
      </c>
      <c r="C340" s="3" t="s">
        <v>29</v>
      </c>
      <c r="D340" s="3">
        <v>5.0</v>
      </c>
      <c r="E340" s="3" t="s">
        <v>27</v>
      </c>
      <c r="F340" s="3">
        <v>240.0</v>
      </c>
      <c r="G340" s="3">
        <v>280.0</v>
      </c>
      <c r="H340" s="4">
        <f t="shared" si="1"/>
        <v>1400</v>
      </c>
      <c r="I340" s="4">
        <f t="shared" si="2"/>
        <v>200</v>
      </c>
      <c r="J340" s="4">
        <f t="shared" si="3"/>
        <v>14.28571429</v>
      </c>
    </row>
    <row r="341" ht="15.75" customHeight="1">
      <c r="A341" s="3" t="s">
        <v>115</v>
      </c>
      <c r="B341" s="3" t="s">
        <v>30</v>
      </c>
      <c r="C341" s="3" t="s">
        <v>18</v>
      </c>
      <c r="D341" s="3">
        <v>18.0</v>
      </c>
      <c r="E341" s="3" t="s">
        <v>19</v>
      </c>
      <c r="F341" s="3">
        <v>8.0</v>
      </c>
      <c r="G341" s="3">
        <v>12.0</v>
      </c>
      <c r="H341" s="4">
        <f t="shared" si="1"/>
        <v>216</v>
      </c>
      <c r="I341" s="4">
        <f t="shared" si="2"/>
        <v>72</v>
      </c>
      <c r="J341" s="4">
        <f t="shared" si="3"/>
        <v>33.33333333</v>
      </c>
    </row>
    <row r="342" ht="15.75" customHeight="1">
      <c r="A342" s="3" t="s">
        <v>115</v>
      </c>
      <c r="B342" s="3" t="s">
        <v>29</v>
      </c>
      <c r="C342" s="3" t="s">
        <v>29</v>
      </c>
      <c r="D342" s="3">
        <v>8.0</v>
      </c>
      <c r="E342" s="3" t="s">
        <v>27</v>
      </c>
      <c r="F342" s="3">
        <v>240.0</v>
      </c>
      <c r="G342" s="3">
        <v>280.0</v>
      </c>
      <c r="H342" s="4">
        <f t="shared" si="1"/>
        <v>2240</v>
      </c>
      <c r="I342" s="4">
        <f t="shared" si="2"/>
        <v>320</v>
      </c>
      <c r="J342" s="4">
        <f t="shared" si="3"/>
        <v>14.28571429</v>
      </c>
    </row>
    <row r="343" ht="15.75" customHeight="1">
      <c r="A343" s="3" t="s">
        <v>115</v>
      </c>
      <c r="B343" s="3" t="s">
        <v>32</v>
      </c>
      <c r="C343" s="3" t="s">
        <v>25</v>
      </c>
      <c r="D343" s="3">
        <v>51.0</v>
      </c>
      <c r="E343" s="3" t="s">
        <v>23</v>
      </c>
      <c r="F343" s="3">
        <v>52.0</v>
      </c>
      <c r="G343" s="3">
        <v>55.0</v>
      </c>
      <c r="H343" s="4">
        <f t="shared" si="1"/>
        <v>2805</v>
      </c>
      <c r="I343" s="4">
        <f t="shared" si="2"/>
        <v>153</v>
      </c>
      <c r="J343" s="4">
        <f t="shared" si="3"/>
        <v>5.454545455</v>
      </c>
    </row>
    <row r="344" ht="15.75" customHeight="1">
      <c r="A344" s="3" t="s">
        <v>115</v>
      </c>
      <c r="B344" s="3" t="s">
        <v>14</v>
      </c>
      <c r="C344" s="3" t="s">
        <v>12</v>
      </c>
      <c r="D344" s="3">
        <v>1.0</v>
      </c>
      <c r="E344" s="3" t="s">
        <v>13</v>
      </c>
      <c r="F344" s="3">
        <v>290.0</v>
      </c>
      <c r="G344" s="3">
        <v>350.0</v>
      </c>
      <c r="H344" s="4">
        <f t="shared" si="1"/>
        <v>350</v>
      </c>
      <c r="I344" s="4">
        <f t="shared" si="2"/>
        <v>60</v>
      </c>
      <c r="J344" s="4">
        <f t="shared" si="3"/>
        <v>17.14285714</v>
      </c>
    </row>
    <row r="345" ht="15.75" customHeight="1">
      <c r="A345" s="3" t="s">
        <v>116</v>
      </c>
      <c r="B345" s="3" t="s">
        <v>20</v>
      </c>
      <c r="C345" s="3" t="s">
        <v>18</v>
      </c>
      <c r="D345" s="3">
        <v>24.0</v>
      </c>
      <c r="E345" s="3" t="s">
        <v>19</v>
      </c>
      <c r="F345" s="3">
        <v>8.0</v>
      </c>
      <c r="G345" s="3">
        <v>8.0</v>
      </c>
      <c r="H345" s="4">
        <f t="shared" si="1"/>
        <v>192</v>
      </c>
      <c r="I345" s="4">
        <f t="shared" si="2"/>
        <v>0</v>
      </c>
      <c r="J345" s="4">
        <f t="shared" si="3"/>
        <v>0</v>
      </c>
    </row>
    <row r="346" ht="15.75" customHeight="1">
      <c r="A346" s="3" t="s">
        <v>116</v>
      </c>
      <c r="B346" s="3" t="s">
        <v>14</v>
      </c>
      <c r="C346" s="3" t="s">
        <v>12</v>
      </c>
      <c r="D346" s="3">
        <v>4.0</v>
      </c>
      <c r="E346" s="3" t="s">
        <v>13</v>
      </c>
      <c r="F346" s="3">
        <v>290.0</v>
      </c>
      <c r="G346" s="3">
        <v>350.0</v>
      </c>
      <c r="H346" s="4">
        <f t="shared" si="1"/>
        <v>1400</v>
      </c>
      <c r="I346" s="4">
        <f t="shared" si="2"/>
        <v>240</v>
      </c>
      <c r="J346" s="4">
        <f t="shared" si="3"/>
        <v>17.14285714</v>
      </c>
    </row>
    <row r="347" ht="15.75" customHeight="1">
      <c r="A347" s="3" t="s">
        <v>116</v>
      </c>
      <c r="B347" s="3" t="s">
        <v>40</v>
      </c>
      <c r="C347" s="3" t="s">
        <v>12</v>
      </c>
      <c r="D347" s="3">
        <v>2.0</v>
      </c>
      <c r="E347" s="3" t="s">
        <v>13</v>
      </c>
      <c r="F347" s="3">
        <v>360.0</v>
      </c>
      <c r="G347" s="3">
        <v>410.0</v>
      </c>
      <c r="H347" s="4">
        <f t="shared" si="1"/>
        <v>820</v>
      </c>
      <c r="I347" s="4">
        <f t="shared" si="2"/>
        <v>100</v>
      </c>
      <c r="J347" s="4">
        <f t="shared" si="3"/>
        <v>12.19512195</v>
      </c>
    </row>
    <row r="348" ht="15.75" customHeight="1">
      <c r="A348" s="3" t="s">
        <v>117</v>
      </c>
      <c r="B348" s="3" t="s">
        <v>24</v>
      </c>
      <c r="C348" s="3" t="s">
        <v>25</v>
      </c>
      <c r="D348" s="3">
        <v>71.0</v>
      </c>
      <c r="E348" s="3" t="s">
        <v>23</v>
      </c>
      <c r="F348" s="3">
        <v>52.0</v>
      </c>
      <c r="G348" s="3">
        <v>55.0</v>
      </c>
      <c r="H348" s="4">
        <f t="shared" si="1"/>
        <v>3905</v>
      </c>
      <c r="I348" s="4">
        <f t="shared" si="2"/>
        <v>213</v>
      </c>
      <c r="J348" s="4">
        <f t="shared" si="3"/>
        <v>5.454545455</v>
      </c>
    </row>
    <row r="349" ht="15.75" customHeight="1">
      <c r="A349" s="3" t="s">
        <v>117</v>
      </c>
      <c r="B349" s="3" t="s">
        <v>30</v>
      </c>
      <c r="C349" s="3" t="s">
        <v>18</v>
      </c>
      <c r="D349" s="3">
        <v>100.0</v>
      </c>
      <c r="E349" s="3" t="s">
        <v>19</v>
      </c>
      <c r="F349" s="3">
        <v>8.0</v>
      </c>
      <c r="G349" s="3">
        <v>12.0</v>
      </c>
      <c r="H349" s="4">
        <f t="shared" si="1"/>
        <v>1200</v>
      </c>
      <c r="I349" s="4">
        <f t="shared" si="2"/>
        <v>400</v>
      </c>
      <c r="J349" s="4">
        <f t="shared" si="3"/>
        <v>33.33333333</v>
      </c>
    </row>
    <row r="350" ht="15.75" customHeight="1">
      <c r="A350" s="3" t="s">
        <v>117</v>
      </c>
      <c r="B350" s="3" t="s">
        <v>21</v>
      </c>
      <c r="C350" s="3" t="s">
        <v>22</v>
      </c>
      <c r="D350" s="3">
        <v>5.0</v>
      </c>
      <c r="E350" s="3" t="s">
        <v>23</v>
      </c>
      <c r="F350" s="3">
        <v>70.0</v>
      </c>
      <c r="G350" s="3">
        <v>76.0</v>
      </c>
      <c r="H350" s="4">
        <f t="shared" si="1"/>
        <v>380</v>
      </c>
      <c r="I350" s="4">
        <f t="shared" si="2"/>
        <v>30</v>
      </c>
      <c r="J350" s="4">
        <f t="shared" si="3"/>
        <v>7.894736842</v>
      </c>
    </row>
    <row r="351" ht="15.75" customHeight="1">
      <c r="A351" s="3" t="s">
        <v>117</v>
      </c>
      <c r="B351" s="3" t="s">
        <v>15</v>
      </c>
      <c r="C351" s="3" t="s">
        <v>12</v>
      </c>
      <c r="D351" s="3">
        <v>6.0</v>
      </c>
      <c r="E351" s="3" t="s">
        <v>13</v>
      </c>
      <c r="F351" s="3">
        <v>270.0</v>
      </c>
      <c r="G351" s="3">
        <v>320.0</v>
      </c>
      <c r="H351" s="4">
        <f t="shared" si="1"/>
        <v>1920</v>
      </c>
      <c r="I351" s="4">
        <f t="shared" si="2"/>
        <v>300</v>
      </c>
      <c r="J351" s="4">
        <f t="shared" si="3"/>
        <v>15.625</v>
      </c>
    </row>
    <row r="352" ht="15.75" customHeight="1">
      <c r="A352" s="3" t="s">
        <v>117</v>
      </c>
      <c r="B352" s="3" t="s">
        <v>17</v>
      </c>
      <c r="C352" s="3" t="s">
        <v>18</v>
      </c>
      <c r="D352" s="3">
        <v>50.0</v>
      </c>
      <c r="E352" s="3" t="s">
        <v>19</v>
      </c>
      <c r="F352" s="3">
        <v>8.0</v>
      </c>
      <c r="G352" s="3">
        <v>12.0</v>
      </c>
      <c r="H352" s="4">
        <f t="shared" si="1"/>
        <v>600</v>
      </c>
      <c r="I352" s="4">
        <f t="shared" si="2"/>
        <v>200</v>
      </c>
      <c r="J352" s="4">
        <f t="shared" si="3"/>
        <v>33.33333333</v>
      </c>
    </row>
    <row r="353" ht="15.75" customHeight="1">
      <c r="A353" s="3" t="s">
        <v>117</v>
      </c>
      <c r="B353" s="3" t="s">
        <v>14</v>
      </c>
      <c r="C353" s="3" t="s">
        <v>12</v>
      </c>
      <c r="D353" s="3">
        <v>2.0</v>
      </c>
      <c r="E353" s="3" t="s">
        <v>13</v>
      </c>
      <c r="F353" s="3">
        <v>290.0</v>
      </c>
      <c r="G353" s="3">
        <v>350.0</v>
      </c>
      <c r="H353" s="4">
        <f t="shared" si="1"/>
        <v>700</v>
      </c>
      <c r="I353" s="4">
        <f t="shared" si="2"/>
        <v>120</v>
      </c>
      <c r="J353" s="4">
        <f t="shared" si="3"/>
        <v>17.14285714</v>
      </c>
    </row>
    <row r="354" ht="15.75" customHeight="1">
      <c r="A354" s="3" t="s">
        <v>118</v>
      </c>
      <c r="B354" s="3" t="s">
        <v>15</v>
      </c>
      <c r="C354" s="3" t="s">
        <v>12</v>
      </c>
      <c r="D354" s="3">
        <v>15.0</v>
      </c>
      <c r="E354" s="3" t="s">
        <v>13</v>
      </c>
      <c r="F354" s="3">
        <v>270.0</v>
      </c>
      <c r="G354" s="3">
        <v>320.0</v>
      </c>
      <c r="H354" s="4">
        <f t="shared" si="1"/>
        <v>4800</v>
      </c>
      <c r="I354" s="4">
        <f t="shared" si="2"/>
        <v>750</v>
      </c>
      <c r="J354" s="4">
        <f t="shared" si="3"/>
        <v>15.625</v>
      </c>
    </row>
    <row r="355" ht="15.75" customHeight="1">
      <c r="A355" s="3" t="s">
        <v>118</v>
      </c>
      <c r="B355" s="3" t="s">
        <v>29</v>
      </c>
      <c r="C355" s="3" t="s">
        <v>29</v>
      </c>
      <c r="D355" s="3">
        <v>7.0</v>
      </c>
      <c r="E355" s="3" t="s">
        <v>27</v>
      </c>
      <c r="F355" s="3">
        <v>240.0</v>
      </c>
      <c r="G355" s="3">
        <v>280.0</v>
      </c>
      <c r="H355" s="4">
        <f t="shared" si="1"/>
        <v>1960</v>
      </c>
      <c r="I355" s="4">
        <f t="shared" si="2"/>
        <v>280</v>
      </c>
      <c r="J355" s="4">
        <f t="shared" si="3"/>
        <v>14.28571429</v>
      </c>
    </row>
    <row r="356" ht="15.75" customHeight="1">
      <c r="A356" s="3" t="s">
        <v>118</v>
      </c>
      <c r="B356" s="3" t="s">
        <v>17</v>
      </c>
      <c r="C356" s="3" t="s">
        <v>18</v>
      </c>
      <c r="D356" s="3">
        <v>50.0</v>
      </c>
      <c r="E356" s="3" t="s">
        <v>19</v>
      </c>
      <c r="F356" s="3">
        <v>8.0</v>
      </c>
      <c r="G356" s="3">
        <v>12.0</v>
      </c>
      <c r="H356" s="4">
        <f t="shared" si="1"/>
        <v>600</v>
      </c>
      <c r="I356" s="4">
        <f t="shared" si="2"/>
        <v>200</v>
      </c>
      <c r="J356" s="4">
        <f t="shared" si="3"/>
        <v>33.33333333</v>
      </c>
    </row>
    <row r="357" ht="15.75" customHeight="1">
      <c r="A357" s="3" t="s">
        <v>118</v>
      </c>
      <c r="B357" s="3" t="s">
        <v>26</v>
      </c>
      <c r="C357" s="3" t="s">
        <v>26</v>
      </c>
      <c r="D357" s="3">
        <v>5.0</v>
      </c>
      <c r="E357" s="3" t="s">
        <v>27</v>
      </c>
      <c r="F357" s="3">
        <v>180.0</v>
      </c>
      <c r="G357" s="3">
        <v>220.0</v>
      </c>
      <c r="H357" s="4">
        <f t="shared" si="1"/>
        <v>1100</v>
      </c>
      <c r="I357" s="4">
        <f t="shared" si="2"/>
        <v>200</v>
      </c>
      <c r="J357" s="4">
        <f t="shared" si="3"/>
        <v>18.18181818</v>
      </c>
    </row>
    <row r="358" ht="15.75" customHeight="1">
      <c r="A358" s="3" t="s">
        <v>118</v>
      </c>
      <c r="B358" s="3" t="s">
        <v>24</v>
      </c>
      <c r="C358" s="3" t="s">
        <v>25</v>
      </c>
      <c r="D358" s="3">
        <v>71.0</v>
      </c>
      <c r="E358" s="3" t="s">
        <v>23</v>
      </c>
      <c r="F358" s="3">
        <v>52.0</v>
      </c>
      <c r="G358" s="3">
        <v>55.0</v>
      </c>
      <c r="H358" s="4">
        <f t="shared" si="1"/>
        <v>3905</v>
      </c>
      <c r="I358" s="4">
        <f t="shared" si="2"/>
        <v>213</v>
      </c>
      <c r="J358" s="4">
        <f t="shared" si="3"/>
        <v>5.454545455</v>
      </c>
    </row>
    <row r="359" ht="15.75" customHeight="1">
      <c r="A359" s="3" t="s">
        <v>118</v>
      </c>
      <c r="B359" s="3" t="s">
        <v>14</v>
      </c>
      <c r="C359" s="3" t="s">
        <v>12</v>
      </c>
      <c r="D359" s="3">
        <v>2.0</v>
      </c>
      <c r="E359" s="3" t="s">
        <v>13</v>
      </c>
      <c r="F359" s="3">
        <v>290.0</v>
      </c>
      <c r="G359" s="3">
        <v>350.0</v>
      </c>
      <c r="H359" s="4">
        <f t="shared" si="1"/>
        <v>700</v>
      </c>
      <c r="I359" s="4">
        <f t="shared" si="2"/>
        <v>120</v>
      </c>
      <c r="J359" s="4">
        <f t="shared" si="3"/>
        <v>17.14285714</v>
      </c>
    </row>
    <row r="360" ht="15.75" customHeight="1">
      <c r="A360" s="3" t="s">
        <v>119</v>
      </c>
      <c r="B360" s="3" t="s">
        <v>26</v>
      </c>
      <c r="C360" s="3" t="s">
        <v>26</v>
      </c>
      <c r="D360" s="3">
        <v>6.0</v>
      </c>
      <c r="E360" s="3" t="s">
        <v>27</v>
      </c>
      <c r="F360" s="3">
        <v>180.0</v>
      </c>
      <c r="G360" s="3">
        <v>220.0</v>
      </c>
      <c r="H360" s="4">
        <f t="shared" si="1"/>
        <v>1320</v>
      </c>
      <c r="I360" s="4">
        <f t="shared" si="2"/>
        <v>240</v>
      </c>
      <c r="J360" s="4">
        <f t="shared" si="3"/>
        <v>18.18181818</v>
      </c>
    </row>
    <row r="361" ht="15.75" customHeight="1">
      <c r="A361" s="3" t="s">
        <v>119</v>
      </c>
      <c r="B361" s="3" t="s">
        <v>14</v>
      </c>
      <c r="C361" s="3" t="s">
        <v>12</v>
      </c>
      <c r="D361" s="3">
        <v>10.0</v>
      </c>
      <c r="E361" s="3" t="s">
        <v>13</v>
      </c>
      <c r="F361" s="3">
        <v>290.0</v>
      </c>
      <c r="G361" s="3">
        <v>350.0</v>
      </c>
      <c r="H361" s="4">
        <f t="shared" si="1"/>
        <v>3500</v>
      </c>
      <c r="I361" s="4">
        <f t="shared" si="2"/>
        <v>600</v>
      </c>
      <c r="J361" s="4">
        <f t="shared" si="3"/>
        <v>17.14285714</v>
      </c>
    </row>
    <row r="362" ht="15.75" customHeight="1">
      <c r="A362" s="3" t="s">
        <v>119</v>
      </c>
      <c r="B362" s="3" t="s">
        <v>30</v>
      </c>
      <c r="C362" s="3" t="s">
        <v>18</v>
      </c>
      <c r="D362" s="3">
        <v>20.0</v>
      </c>
      <c r="E362" s="3" t="s">
        <v>19</v>
      </c>
      <c r="F362" s="3">
        <v>8.0</v>
      </c>
      <c r="G362" s="3">
        <v>12.0</v>
      </c>
      <c r="H362" s="4">
        <f t="shared" si="1"/>
        <v>240</v>
      </c>
      <c r="I362" s="4">
        <f t="shared" si="2"/>
        <v>80</v>
      </c>
      <c r="J362" s="4">
        <f t="shared" si="3"/>
        <v>33.33333333</v>
      </c>
    </row>
    <row r="363" ht="15.75" customHeight="1">
      <c r="A363" s="3" t="s">
        <v>119</v>
      </c>
      <c r="B363" s="3" t="s">
        <v>11</v>
      </c>
      <c r="C363" s="3" t="s">
        <v>12</v>
      </c>
      <c r="D363" s="3">
        <v>2.0</v>
      </c>
      <c r="E363" s="3" t="s">
        <v>13</v>
      </c>
      <c r="F363" s="3">
        <v>270.0</v>
      </c>
      <c r="G363" s="3">
        <v>330.0</v>
      </c>
      <c r="H363" s="4">
        <f t="shared" si="1"/>
        <v>660</v>
      </c>
      <c r="I363" s="4">
        <f t="shared" si="2"/>
        <v>120</v>
      </c>
      <c r="J363" s="4">
        <f t="shared" si="3"/>
        <v>18.18181818</v>
      </c>
    </row>
    <row r="364" ht="15.75" customHeight="1">
      <c r="A364" s="3" t="s">
        <v>120</v>
      </c>
      <c r="B364" s="3" t="s">
        <v>17</v>
      </c>
      <c r="C364" s="3" t="s">
        <v>18</v>
      </c>
      <c r="D364" s="3">
        <v>25.0</v>
      </c>
      <c r="E364" s="3" t="s">
        <v>19</v>
      </c>
      <c r="F364" s="3">
        <v>8.0</v>
      </c>
      <c r="G364" s="3">
        <v>12.0</v>
      </c>
      <c r="H364" s="4">
        <f t="shared" si="1"/>
        <v>300</v>
      </c>
      <c r="I364" s="4">
        <f t="shared" si="2"/>
        <v>100</v>
      </c>
      <c r="J364" s="4">
        <f t="shared" si="3"/>
        <v>33.33333333</v>
      </c>
    </row>
    <row r="365" ht="15.75" customHeight="1">
      <c r="A365" s="3" t="s">
        <v>120</v>
      </c>
      <c r="B365" s="3" t="s">
        <v>30</v>
      </c>
      <c r="C365" s="3" t="s">
        <v>18</v>
      </c>
      <c r="D365" s="3">
        <v>20.0</v>
      </c>
      <c r="E365" s="3" t="s">
        <v>19</v>
      </c>
      <c r="F365" s="3">
        <v>8.0</v>
      </c>
      <c r="G365" s="3">
        <v>12.0</v>
      </c>
      <c r="H365" s="4">
        <f t="shared" si="1"/>
        <v>240</v>
      </c>
      <c r="I365" s="4">
        <f t="shared" si="2"/>
        <v>80</v>
      </c>
      <c r="J365" s="4">
        <f t="shared" si="3"/>
        <v>33.33333333</v>
      </c>
    </row>
    <row r="366" ht="15.75" customHeight="1">
      <c r="A366" s="3" t="s">
        <v>120</v>
      </c>
      <c r="B366" s="3" t="s">
        <v>24</v>
      </c>
      <c r="C366" s="3" t="s">
        <v>25</v>
      </c>
      <c r="D366" s="3">
        <v>71.0</v>
      </c>
      <c r="E366" s="3" t="s">
        <v>23</v>
      </c>
      <c r="F366" s="3">
        <v>52.0</v>
      </c>
      <c r="G366" s="3">
        <v>55.0</v>
      </c>
      <c r="H366" s="4">
        <f t="shared" si="1"/>
        <v>3905</v>
      </c>
      <c r="I366" s="4">
        <f t="shared" si="2"/>
        <v>213</v>
      </c>
      <c r="J366" s="4">
        <f t="shared" si="3"/>
        <v>5.454545455</v>
      </c>
    </row>
    <row r="367" ht="15.75" customHeight="1">
      <c r="A367" s="3" t="s">
        <v>121</v>
      </c>
      <c r="B367" s="3" t="s">
        <v>11</v>
      </c>
      <c r="C367" s="3" t="s">
        <v>12</v>
      </c>
      <c r="D367" s="3">
        <v>2.0</v>
      </c>
      <c r="E367" s="3" t="s">
        <v>13</v>
      </c>
      <c r="F367" s="3">
        <v>270.0</v>
      </c>
      <c r="G367" s="3">
        <v>330.0</v>
      </c>
      <c r="H367" s="4">
        <f t="shared" si="1"/>
        <v>660</v>
      </c>
      <c r="I367" s="4">
        <f t="shared" si="2"/>
        <v>120</v>
      </c>
      <c r="J367" s="4">
        <f t="shared" si="3"/>
        <v>18.18181818</v>
      </c>
    </row>
    <row r="368" ht="15.75" customHeight="1">
      <c r="A368" s="3" t="s">
        <v>121</v>
      </c>
      <c r="B368" s="3" t="s">
        <v>85</v>
      </c>
      <c r="C368" s="3" t="s">
        <v>25</v>
      </c>
      <c r="D368" s="3">
        <v>46.0</v>
      </c>
      <c r="E368" s="3" t="s">
        <v>23</v>
      </c>
      <c r="F368" s="3">
        <v>55.0</v>
      </c>
      <c r="G368" s="3">
        <v>59.0</v>
      </c>
      <c r="H368" s="4">
        <f t="shared" si="1"/>
        <v>2714</v>
      </c>
      <c r="I368" s="4">
        <f t="shared" si="2"/>
        <v>184</v>
      </c>
      <c r="J368" s="4">
        <f t="shared" si="3"/>
        <v>6.779661017</v>
      </c>
    </row>
    <row r="369" ht="15.75" customHeight="1">
      <c r="A369" s="3" t="s">
        <v>121</v>
      </c>
      <c r="B369" s="3" t="s">
        <v>17</v>
      </c>
      <c r="C369" s="3" t="s">
        <v>18</v>
      </c>
      <c r="D369" s="3">
        <v>200.0</v>
      </c>
      <c r="E369" s="3" t="s">
        <v>19</v>
      </c>
      <c r="F369" s="3">
        <v>8.0</v>
      </c>
      <c r="G369" s="3">
        <v>12.0</v>
      </c>
      <c r="H369" s="4">
        <f t="shared" si="1"/>
        <v>2400</v>
      </c>
      <c r="I369" s="4">
        <f t="shared" si="2"/>
        <v>800</v>
      </c>
      <c r="J369" s="4">
        <f t="shared" si="3"/>
        <v>33.33333333</v>
      </c>
    </row>
    <row r="370" ht="15.75" customHeight="1">
      <c r="A370" s="3" t="s">
        <v>121</v>
      </c>
      <c r="B370" s="3" t="s">
        <v>15</v>
      </c>
      <c r="C370" s="3" t="s">
        <v>12</v>
      </c>
      <c r="D370" s="3">
        <v>2.0</v>
      </c>
      <c r="E370" s="3" t="s">
        <v>13</v>
      </c>
      <c r="F370" s="3">
        <v>270.0</v>
      </c>
      <c r="G370" s="3">
        <v>320.0</v>
      </c>
      <c r="H370" s="4">
        <f t="shared" si="1"/>
        <v>640</v>
      </c>
      <c r="I370" s="4">
        <f t="shared" si="2"/>
        <v>100</v>
      </c>
      <c r="J370" s="4">
        <f t="shared" si="3"/>
        <v>15.625</v>
      </c>
    </row>
    <row r="371" ht="15.75" customHeight="1">
      <c r="A371" s="3" t="s">
        <v>121</v>
      </c>
      <c r="B371" s="3" t="s">
        <v>14</v>
      </c>
      <c r="C371" s="3" t="s">
        <v>12</v>
      </c>
      <c r="D371" s="3">
        <v>12.0</v>
      </c>
      <c r="E371" s="3" t="s">
        <v>13</v>
      </c>
      <c r="F371" s="3">
        <v>290.0</v>
      </c>
      <c r="G371" s="3">
        <v>350.0</v>
      </c>
      <c r="H371" s="4">
        <f t="shared" si="1"/>
        <v>4200</v>
      </c>
      <c r="I371" s="4">
        <f t="shared" si="2"/>
        <v>720</v>
      </c>
      <c r="J371" s="4">
        <f t="shared" si="3"/>
        <v>17.14285714</v>
      </c>
    </row>
    <row r="372" ht="15.75" customHeight="1">
      <c r="A372" s="3" t="s">
        <v>121</v>
      </c>
      <c r="B372" s="3" t="s">
        <v>26</v>
      </c>
      <c r="C372" s="3" t="s">
        <v>26</v>
      </c>
      <c r="D372" s="3">
        <v>20.0</v>
      </c>
      <c r="E372" s="3" t="s">
        <v>27</v>
      </c>
      <c r="F372" s="3">
        <v>180.0</v>
      </c>
      <c r="G372" s="3">
        <v>220.0</v>
      </c>
      <c r="H372" s="4">
        <f t="shared" si="1"/>
        <v>4400</v>
      </c>
      <c r="I372" s="4">
        <f t="shared" si="2"/>
        <v>800</v>
      </c>
      <c r="J372" s="4">
        <f t="shared" si="3"/>
        <v>18.18181818</v>
      </c>
    </row>
    <row r="373" ht="15.75" customHeight="1">
      <c r="A373" s="3" t="s">
        <v>122</v>
      </c>
      <c r="B373" s="3" t="s">
        <v>20</v>
      </c>
      <c r="C373" s="3" t="s">
        <v>18</v>
      </c>
      <c r="D373" s="3">
        <v>70.0</v>
      </c>
      <c r="E373" s="3" t="s">
        <v>19</v>
      </c>
      <c r="F373" s="3">
        <v>8.0</v>
      </c>
      <c r="G373" s="3">
        <v>9.0</v>
      </c>
      <c r="H373" s="4">
        <f t="shared" si="1"/>
        <v>630</v>
      </c>
      <c r="I373" s="4">
        <f t="shared" si="2"/>
        <v>70</v>
      </c>
      <c r="J373" s="4">
        <f t="shared" si="3"/>
        <v>11.11111111</v>
      </c>
    </row>
    <row r="374" ht="15.75" customHeight="1">
      <c r="A374" s="3" t="s">
        <v>122</v>
      </c>
      <c r="B374" s="3" t="s">
        <v>26</v>
      </c>
      <c r="C374" s="3" t="s">
        <v>26</v>
      </c>
      <c r="D374" s="3">
        <v>6.0</v>
      </c>
      <c r="E374" s="3" t="s">
        <v>27</v>
      </c>
      <c r="F374" s="3">
        <v>180.0</v>
      </c>
      <c r="G374" s="3">
        <v>220.0</v>
      </c>
      <c r="H374" s="4">
        <f t="shared" si="1"/>
        <v>1320</v>
      </c>
      <c r="I374" s="4">
        <f t="shared" si="2"/>
        <v>240</v>
      </c>
      <c r="J374" s="4">
        <f t="shared" si="3"/>
        <v>18.18181818</v>
      </c>
    </row>
    <row r="375" ht="15.75" customHeight="1">
      <c r="A375" s="3" t="s">
        <v>122</v>
      </c>
      <c r="B375" s="3" t="s">
        <v>11</v>
      </c>
      <c r="C375" s="3" t="s">
        <v>12</v>
      </c>
      <c r="D375" s="3">
        <v>20.0</v>
      </c>
      <c r="E375" s="3" t="s">
        <v>13</v>
      </c>
      <c r="F375" s="3">
        <v>270.0</v>
      </c>
      <c r="G375" s="3">
        <v>330.0</v>
      </c>
      <c r="H375" s="4">
        <f t="shared" si="1"/>
        <v>6600</v>
      </c>
      <c r="I375" s="4">
        <f t="shared" si="2"/>
        <v>1200</v>
      </c>
      <c r="J375" s="4">
        <f t="shared" si="3"/>
        <v>18.18181818</v>
      </c>
    </row>
    <row r="376" ht="15.75" customHeight="1">
      <c r="A376" s="3" t="s">
        <v>122</v>
      </c>
      <c r="B376" s="3" t="s">
        <v>14</v>
      </c>
      <c r="C376" s="3" t="s">
        <v>12</v>
      </c>
      <c r="D376" s="3">
        <v>12.0</v>
      </c>
      <c r="E376" s="3" t="s">
        <v>13</v>
      </c>
      <c r="F376" s="3">
        <v>290.0</v>
      </c>
      <c r="G376" s="3">
        <v>350.0</v>
      </c>
      <c r="H376" s="4">
        <f t="shared" si="1"/>
        <v>4200</v>
      </c>
      <c r="I376" s="4">
        <f t="shared" si="2"/>
        <v>720</v>
      </c>
      <c r="J376" s="4">
        <f t="shared" si="3"/>
        <v>17.14285714</v>
      </c>
    </row>
    <row r="377" ht="15.75" customHeight="1">
      <c r="A377" s="3" t="s">
        <v>123</v>
      </c>
      <c r="B377" s="3" t="s">
        <v>30</v>
      </c>
      <c r="C377" s="3" t="s">
        <v>18</v>
      </c>
      <c r="D377" s="3">
        <v>50.0</v>
      </c>
      <c r="E377" s="3" t="s">
        <v>19</v>
      </c>
      <c r="F377" s="3">
        <v>8.0</v>
      </c>
      <c r="G377" s="3">
        <v>12.0</v>
      </c>
      <c r="H377" s="4">
        <f t="shared" si="1"/>
        <v>600</v>
      </c>
      <c r="I377" s="4">
        <f t="shared" si="2"/>
        <v>200</v>
      </c>
      <c r="J377" s="4">
        <f t="shared" si="3"/>
        <v>33.33333333</v>
      </c>
    </row>
    <row r="378" ht="15.75" customHeight="1">
      <c r="A378" s="3" t="s">
        <v>123</v>
      </c>
      <c r="B378" s="3" t="s">
        <v>15</v>
      </c>
      <c r="C378" s="3" t="s">
        <v>12</v>
      </c>
      <c r="D378" s="3">
        <v>1.0</v>
      </c>
      <c r="E378" s="3" t="s">
        <v>13</v>
      </c>
      <c r="F378" s="3">
        <v>270.0</v>
      </c>
      <c r="G378" s="3">
        <v>320.0</v>
      </c>
      <c r="H378" s="4">
        <f t="shared" si="1"/>
        <v>320</v>
      </c>
      <c r="I378" s="4">
        <f t="shared" si="2"/>
        <v>50</v>
      </c>
      <c r="J378" s="4">
        <f t="shared" si="3"/>
        <v>15.625</v>
      </c>
    </row>
    <row r="379" ht="15.75" customHeight="1">
      <c r="A379" s="3" t="s">
        <v>123</v>
      </c>
      <c r="B379" s="3" t="s">
        <v>29</v>
      </c>
      <c r="C379" s="3" t="s">
        <v>29</v>
      </c>
      <c r="D379" s="3">
        <v>25.0</v>
      </c>
      <c r="E379" s="3" t="s">
        <v>27</v>
      </c>
      <c r="F379" s="3">
        <v>240.0</v>
      </c>
      <c r="G379" s="3">
        <v>280.0</v>
      </c>
      <c r="H379" s="4">
        <f t="shared" si="1"/>
        <v>7000</v>
      </c>
      <c r="I379" s="4">
        <f t="shared" si="2"/>
        <v>1000</v>
      </c>
      <c r="J379" s="4">
        <f t="shared" si="3"/>
        <v>14.28571429</v>
      </c>
    </row>
    <row r="380" ht="15.75" customHeight="1">
      <c r="A380" s="3" t="s">
        <v>124</v>
      </c>
      <c r="B380" s="3" t="s">
        <v>11</v>
      </c>
      <c r="C380" s="3" t="s">
        <v>12</v>
      </c>
      <c r="D380" s="3">
        <v>8.0</v>
      </c>
      <c r="E380" s="3" t="s">
        <v>13</v>
      </c>
      <c r="F380" s="3">
        <v>270.0</v>
      </c>
      <c r="G380" s="3">
        <v>330.0</v>
      </c>
      <c r="H380" s="4">
        <f t="shared" si="1"/>
        <v>2640</v>
      </c>
      <c r="I380" s="4">
        <f t="shared" si="2"/>
        <v>480</v>
      </c>
      <c r="J380" s="4">
        <f t="shared" si="3"/>
        <v>18.18181818</v>
      </c>
    </row>
    <row r="381" ht="15.75" customHeight="1">
      <c r="A381" s="3" t="s">
        <v>124</v>
      </c>
      <c r="B381" s="3" t="s">
        <v>32</v>
      </c>
      <c r="C381" s="3" t="s">
        <v>25</v>
      </c>
      <c r="D381" s="3">
        <v>52.0</v>
      </c>
      <c r="E381" s="3" t="s">
        <v>23</v>
      </c>
      <c r="F381" s="3">
        <v>52.0</v>
      </c>
      <c r="G381" s="3">
        <v>55.0</v>
      </c>
      <c r="H381" s="4">
        <f t="shared" si="1"/>
        <v>2860</v>
      </c>
      <c r="I381" s="4">
        <f t="shared" si="2"/>
        <v>156</v>
      </c>
      <c r="J381" s="4">
        <f t="shared" si="3"/>
        <v>5.454545455</v>
      </c>
    </row>
    <row r="382" ht="15.75" customHeight="1">
      <c r="A382" s="3" t="s">
        <v>124</v>
      </c>
      <c r="B382" s="3" t="s">
        <v>26</v>
      </c>
      <c r="C382" s="3" t="s">
        <v>26</v>
      </c>
      <c r="D382" s="3">
        <v>6.0</v>
      </c>
      <c r="E382" s="3" t="s">
        <v>27</v>
      </c>
      <c r="F382" s="3">
        <v>180.0</v>
      </c>
      <c r="G382" s="3">
        <v>220.0</v>
      </c>
      <c r="H382" s="4">
        <f t="shared" si="1"/>
        <v>1320</v>
      </c>
      <c r="I382" s="4">
        <f t="shared" si="2"/>
        <v>240</v>
      </c>
      <c r="J382" s="4">
        <f t="shared" si="3"/>
        <v>18.18181818</v>
      </c>
    </row>
    <row r="383" ht="15.75" customHeight="1">
      <c r="A383" s="3" t="s">
        <v>124</v>
      </c>
      <c r="B383" s="3" t="s">
        <v>29</v>
      </c>
      <c r="C383" s="3" t="s">
        <v>29</v>
      </c>
      <c r="D383" s="3">
        <v>2.0</v>
      </c>
      <c r="E383" s="3" t="s">
        <v>27</v>
      </c>
      <c r="F383" s="3">
        <v>240.0</v>
      </c>
      <c r="G383" s="3">
        <v>280.0</v>
      </c>
      <c r="H383" s="4">
        <f t="shared" si="1"/>
        <v>560</v>
      </c>
      <c r="I383" s="4">
        <f t="shared" si="2"/>
        <v>80</v>
      </c>
      <c r="J383" s="4">
        <f t="shared" si="3"/>
        <v>14.28571429</v>
      </c>
    </row>
    <row r="384" ht="15.75" customHeight="1">
      <c r="A384" s="3" t="s">
        <v>124</v>
      </c>
      <c r="B384" s="3" t="s">
        <v>24</v>
      </c>
      <c r="C384" s="3" t="s">
        <v>25</v>
      </c>
      <c r="D384" s="3">
        <v>72.0</v>
      </c>
      <c r="E384" s="3" t="s">
        <v>23</v>
      </c>
      <c r="F384" s="3">
        <v>52.0</v>
      </c>
      <c r="G384" s="3">
        <v>55.0</v>
      </c>
      <c r="H384" s="4">
        <f t="shared" si="1"/>
        <v>3960</v>
      </c>
      <c r="I384" s="4">
        <f t="shared" si="2"/>
        <v>216</v>
      </c>
      <c r="J384" s="4">
        <f t="shared" si="3"/>
        <v>5.454545455</v>
      </c>
    </row>
    <row r="385" ht="15.75" customHeight="1">
      <c r="A385" s="3" t="s">
        <v>124</v>
      </c>
      <c r="B385" s="3" t="s">
        <v>20</v>
      </c>
      <c r="C385" s="3" t="s">
        <v>18</v>
      </c>
      <c r="D385" s="3">
        <v>150.0</v>
      </c>
      <c r="E385" s="3" t="s">
        <v>19</v>
      </c>
      <c r="F385" s="3">
        <v>8.0</v>
      </c>
      <c r="G385" s="3">
        <v>9.0</v>
      </c>
      <c r="H385" s="4">
        <f t="shared" si="1"/>
        <v>1350</v>
      </c>
      <c r="I385" s="4">
        <f t="shared" si="2"/>
        <v>150</v>
      </c>
      <c r="J385" s="4">
        <f t="shared" si="3"/>
        <v>11.11111111</v>
      </c>
    </row>
    <row r="386" ht="15.75" customHeight="1">
      <c r="A386" s="3" t="s">
        <v>125</v>
      </c>
      <c r="B386" s="3" t="s">
        <v>14</v>
      </c>
      <c r="C386" s="3" t="s">
        <v>12</v>
      </c>
      <c r="D386" s="3">
        <v>12.0</v>
      </c>
      <c r="E386" s="3" t="s">
        <v>13</v>
      </c>
      <c r="F386" s="3">
        <v>290.0</v>
      </c>
      <c r="G386" s="3">
        <v>350.0</v>
      </c>
      <c r="H386" s="4">
        <f t="shared" si="1"/>
        <v>4200</v>
      </c>
      <c r="I386" s="4">
        <f t="shared" si="2"/>
        <v>720</v>
      </c>
      <c r="J386" s="4">
        <f t="shared" si="3"/>
        <v>17.14285714</v>
      </c>
    </row>
    <row r="387" ht="15.75" customHeight="1">
      <c r="A387" s="3" t="s">
        <v>125</v>
      </c>
      <c r="B387" s="3" t="s">
        <v>40</v>
      </c>
      <c r="C387" s="3" t="s">
        <v>12</v>
      </c>
      <c r="D387" s="3">
        <v>3.0</v>
      </c>
      <c r="E387" s="3" t="s">
        <v>13</v>
      </c>
      <c r="F387" s="3">
        <v>360.0</v>
      </c>
      <c r="G387" s="3">
        <v>410.0</v>
      </c>
      <c r="H387" s="4">
        <f t="shared" si="1"/>
        <v>1230</v>
      </c>
      <c r="I387" s="4">
        <f t="shared" si="2"/>
        <v>150</v>
      </c>
      <c r="J387" s="4">
        <f t="shared" si="3"/>
        <v>12.19512195</v>
      </c>
    </row>
    <row r="388" ht="15.75" customHeight="1">
      <c r="A388" s="3" t="s">
        <v>125</v>
      </c>
      <c r="B388" s="3" t="s">
        <v>30</v>
      </c>
      <c r="C388" s="3" t="s">
        <v>18</v>
      </c>
      <c r="D388" s="3">
        <v>200.0</v>
      </c>
      <c r="E388" s="3" t="s">
        <v>19</v>
      </c>
      <c r="F388" s="3">
        <v>8.0</v>
      </c>
      <c r="G388" s="3">
        <v>12.0</v>
      </c>
      <c r="H388" s="4">
        <f t="shared" si="1"/>
        <v>2400</v>
      </c>
      <c r="I388" s="4">
        <f t="shared" si="2"/>
        <v>800</v>
      </c>
      <c r="J388" s="4">
        <f t="shared" si="3"/>
        <v>33.33333333</v>
      </c>
    </row>
    <row r="389" ht="15.75" customHeight="1">
      <c r="A389" s="3" t="s">
        <v>125</v>
      </c>
      <c r="B389" s="3" t="s">
        <v>26</v>
      </c>
      <c r="C389" s="3" t="s">
        <v>26</v>
      </c>
      <c r="D389" s="3">
        <v>10.0</v>
      </c>
      <c r="E389" s="3" t="s">
        <v>27</v>
      </c>
      <c r="F389" s="3">
        <v>180.0</v>
      </c>
      <c r="G389" s="3">
        <v>220.0</v>
      </c>
      <c r="H389" s="4">
        <f t="shared" si="1"/>
        <v>2200</v>
      </c>
      <c r="I389" s="4">
        <f t="shared" si="2"/>
        <v>400</v>
      </c>
      <c r="J389" s="4">
        <f t="shared" si="3"/>
        <v>18.18181818</v>
      </c>
    </row>
    <row r="390" ht="15.75" customHeight="1">
      <c r="A390" s="3" t="s">
        <v>126</v>
      </c>
      <c r="B390" s="3" t="s">
        <v>32</v>
      </c>
      <c r="C390" s="3" t="s">
        <v>25</v>
      </c>
      <c r="D390" s="3">
        <v>102.0</v>
      </c>
      <c r="E390" s="3" t="s">
        <v>23</v>
      </c>
      <c r="F390" s="3">
        <v>52.0</v>
      </c>
      <c r="G390" s="3">
        <v>55.0</v>
      </c>
      <c r="H390" s="4">
        <f t="shared" si="1"/>
        <v>5610</v>
      </c>
      <c r="I390" s="4">
        <f t="shared" si="2"/>
        <v>306</v>
      </c>
      <c r="J390" s="4">
        <f t="shared" si="3"/>
        <v>5.454545455</v>
      </c>
    </row>
    <row r="391" ht="15.75" customHeight="1">
      <c r="A391" s="3" t="s">
        <v>126</v>
      </c>
      <c r="B391" s="3" t="s">
        <v>11</v>
      </c>
      <c r="C391" s="3" t="s">
        <v>12</v>
      </c>
      <c r="D391" s="3">
        <v>2.0</v>
      </c>
      <c r="E391" s="3" t="s">
        <v>13</v>
      </c>
      <c r="F391" s="3">
        <v>270.0</v>
      </c>
      <c r="G391" s="3">
        <v>330.0</v>
      </c>
      <c r="H391" s="4">
        <f t="shared" si="1"/>
        <v>660</v>
      </c>
      <c r="I391" s="4">
        <f t="shared" si="2"/>
        <v>120</v>
      </c>
      <c r="J391" s="4">
        <f t="shared" si="3"/>
        <v>18.18181818</v>
      </c>
    </row>
    <row r="392" ht="15.75" customHeight="1">
      <c r="A392" s="3" t="s">
        <v>126</v>
      </c>
      <c r="B392" s="3" t="s">
        <v>85</v>
      </c>
      <c r="C392" s="3" t="s">
        <v>25</v>
      </c>
      <c r="D392" s="3">
        <v>46.0</v>
      </c>
      <c r="E392" s="3" t="s">
        <v>23</v>
      </c>
      <c r="F392" s="3">
        <v>55.0</v>
      </c>
      <c r="G392" s="3">
        <v>59.0</v>
      </c>
      <c r="H392" s="4">
        <f t="shared" si="1"/>
        <v>2714</v>
      </c>
      <c r="I392" s="4">
        <f t="shared" si="2"/>
        <v>184</v>
      </c>
      <c r="J392" s="4">
        <f t="shared" si="3"/>
        <v>6.779661017</v>
      </c>
    </row>
    <row r="393" ht="15.75" customHeight="1">
      <c r="A393" s="3" t="s">
        <v>126</v>
      </c>
      <c r="B393" s="3" t="s">
        <v>20</v>
      </c>
      <c r="C393" s="3" t="s">
        <v>18</v>
      </c>
      <c r="D393" s="3">
        <v>20.0</v>
      </c>
      <c r="E393" s="3" t="s">
        <v>19</v>
      </c>
      <c r="F393" s="3">
        <v>8.0</v>
      </c>
      <c r="G393" s="3">
        <v>9.0</v>
      </c>
      <c r="H393" s="4">
        <f t="shared" si="1"/>
        <v>180</v>
      </c>
      <c r="I393" s="4">
        <f t="shared" si="2"/>
        <v>20</v>
      </c>
      <c r="J393" s="4">
        <f t="shared" si="3"/>
        <v>11.11111111</v>
      </c>
    </row>
    <row r="394" ht="15.75" customHeight="1">
      <c r="A394" s="3" t="s">
        <v>126</v>
      </c>
      <c r="B394" s="3" t="s">
        <v>14</v>
      </c>
      <c r="C394" s="3" t="s">
        <v>12</v>
      </c>
      <c r="D394" s="3">
        <v>12.0</v>
      </c>
      <c r="E394" s="3" t="s">
        <v>13</v>
      </c>
      <c r="F394" s="3">
        <v>290.0</v>
      </c>
      <c r="G394" s="3">
        <v>350.0</v>
      </c>
      <c r="H394" s="4">
        <f t="shared" si="1"/>
        <v>4200</v>
      </c>
      <c r="I394" s="4">
        <f t="shared" si="2"/>
        <v>720</v>
      </c>
      <c r="J394" s="4">
        <f t="shared" si="3"/>
        <v>17.14285714</v>
      </c>
    </row>
    <row r="395" ht="15.75" customHeight="1">
      <c r="A395" s="3" t="s">
        <v>127</v>
      </c>
      <c r="B395" s="3" t="s">
        <v>29</v>
      </c>
      <c r="C395" s="3" t="s">
        <v>29</v>
      </c>
      <c r="D395" s="3">
        <v>30.0</v>
      </c>
      <c r="E395" s="3" t="s">
        <v>27</v>
      </c>
      <c r="F395" s="3">
        <v>240.0</v>
      </c>
      <c r="G395" s="3">
        <v>280.0</v>
      </c>
      <c r="H395" s="4">
        <f t="shared" si="1"/>
        <v>8400</v>
      </c>
      <c r="I395" s="4">
        <f t="shared" si="2"/>
        <v>1200</v>
      </c>
      <c r="J395" s="4">
        <f t="shared" si="3"/>
        <v>14.28571429</v>
      </c>
    </row>
    <row r="396" ht="15.75" customHeight="1">
      <c r="A396" s="3" t="s">
        <v>127</v>
      </c>
      <c r="B396" s="3" t="s">
        <v>15</v>
      </c>
      <c r="C396" s="3" t="s">
        <v>12</v>
      </c>
      <c r="D396" s="3">
        <v>18.0</v>
      </c>
      <c r="E396" s="3" t="s">
        <v>13</v>
      </c>
      <c r="F396" s="3">
        <v>270.0</v>
      </c>
      <c r="G396" s="3">
        <v>320.0</v>
      </c>
      <c r="H396" s="4">
        <f t="shared" si="1"/>
        <v>5760</v>
      </c>
      <c r="I396" s="4">
        <f t="shared" si="2"/>
        <v>900</v>
      </c>
      <c r="J396" s="4">
        <f t="shared" si="3"/>
        <v>15.625</v>
      </c>
    </row>
    <row r="397" ht="15.75" customHeight="1">
      <c r="A397" s="3" t="s">
        <v>127</v>
      </c>
      <c r="B397" s="3" t="s">
        <v>30</v>
      </c>
      <c r="C397" s="3" t="s">
        <v>18</v>
      </c>
      <c r="D397" s="3">
        <v>300.0</v>
      </c>
      <c r="E397" s="3" t="s">
        <v>19</v>
      </c>
      <c r="F397" s="3">
        <v>8.0</v>
      </c>
      <c r="G397" s="3">
        <v>12.0</v>
      </c>
      <c r="H397" s="4">
        <f t="shared" si="1"/>
        <v>3600</v>
      </c>
      <c r="I397" s="4">
        <f t="shared" si="2"/>
        <v>1200</v>
      </c>
      <c r="J397" s="4">
        <f t="shared" si="3"/>
        <v>33.33333333</v>
      </c>
    </row>
    <row r="398" ht="15.75" customHeight="1">
      <c r="A398" s="3" t="s">
        <v>127</v>
      </c>
      <c r="B398" s="3" t="s">
        <v>26</v>
      </c>
      <c r="C398" s="3" t="s">
        <v>26</v>
      </c>
      <c r="D398" s="3">
        <v>8.0</v>
      </c>
      <c r="E398" s="3" t="s">
        <v>27</v>
      </c>
      <c r="F398" s="3">
        <v>180.0</v>
      </c>
      <c r="G398" s="3">
        <v>220.0</v>
      </c>
      <c r="H398" s="4">
        <f t="shared" si="1"/>
        <v>1760</v>
      </c>
      <c r="I398" s="4">
        <f t="shared" si="2"/>
        <v>320</v>
      </c>
      <c r="J398" s="4">
        <f t="shared" si="3"/>
        <v>18.18181818</v>
      </c>
    </row>
    <row r="399" ht="15.75" customHeight="1">
      <c r="A399" s="3" t="s">
        <v>127</v>
      </c>
      <c r="B399" s="3" t="s">
        <v>17</v>
      </c>
      <c r="C399" s="3" t="s">
        <v>18</v>
      </c>
      <c r="D399" s="3">
        <v>120.0</v>
      </c>
      <c r="E399" s="3" t="s">
        <v>19</v>
      </c>
      <c r="F399" s="3">
        <v>8.0</v>
      </c>
      <c r="G399" s="3">
        <v>12.0</v>
      </c>
      <c r="H399" s="4">
        <f t="shared" si="1"/>
        <v>1440</v>
      </c>
      <c r="I399" s="4">
        <f t="shared" si="2"/>
        <v>480</v>
      </c>
      <c r="J399" s="4">
        <f t="shared" si="3"/>
        <v>33.33333333</v>
      </c>
    </row>
    <row r="400" ht="15.75" customHeight="1">
      <c r="A400" s="3" t="s">
        <v>127</v>
      </c>
      <c r="B400" s="3" t="s">
        <v>14</v>
      </c>
      <c r="C400" s="3" t="s">
        <v>12</v>
      </c>
      <c r="D400" s="3">
        <v>2.0</v>
      </c>
      <c r="E400" s="3" t="s">
        <v>13</v>
      </c>
      <c r="F400" s="3">
        <v>290.0</v>
      </c>
      <c r="G400" s="3">
        <v>350.0</v>
      </c>
      <c r="H400" s="4">
        <f t="shared" si="1"/>
        <v>700</v>
      </c>
      <c r="I400" s="4">
        <f t="shared" si="2"/>
        <v>120</v>
      </c>
      <c r="J400" s="4">
        <f t="shared" si="3"/>
        <v>17.14285714</v>
      </c>
    </row>
    <row r="401" ht="15.75" customHeight="1">
      <c r="A401" s="3" t="s">
        <v>128</v>
      </c>
      <c r="B401" s="3" t="s">
        <v>30</v>
      </c>
      <c r="C401" s="3" t="s">
        <v>18</v>
      </c>
      <c r="D401" s="3">
        <v>24.0</v>
      </c>
      <c r="E401" s="3" t="s">
        <v>19</v>
      </c>
      <c r="F401" s="3">
        <v>8.0</v>
      </c>
      <c r="G401" s="3">
        <v>12.0</v>
      </c>
      <c r="H401" s="4">
        <f t="shared" si="1"/>
        <v>288</v>
      </c>
      <c r="I401" s="4">
        <f t="shared" si="2"/>
        <v>96</v>
      </c>
      <c r="J401" s="4">
        <f t="shared" si="3"/>
        <v>33.33333333</v>
      </c>
    </row>
    <row r="402" ht="15.75" customHeight="1">
      <c r="A402" s="3" t="s">
        <v>128</v>
      </c>
      <c r="B402" s="3" t="s">
        <v>40</v>
      </c>
      <c r="C402" s="3" t="s">
        <v>12</v>
      </c>
      <c r="D402" s="3">
        <v>30.0</v>
      </c>
      <c r="E402" s="3" t="s">
        <v>13</v>
      </c>
      <c r="F402" s="3">
        <v>360.0</v>
      </c>
      <c r="G402" s="3">
        <v>410.0</v>
      </c>
      <c r="H402" s="4">
        <f t="shared" si="1"/>
        <v>12300</v>
      </c>
      <c r="I402" s="4">
        <f t="shared" si="2"/>
        <v>1500</v>
      </c>
      <c r="J402" s="4">
        <f t="shared" si="3"/>
        <v>12.19512195</v>
      </c>
    </row>
    <row r="403" ht="15.75" customHeight="1">
      <c r="A403" s="3" t="s">
        <v>128</v>
      </c>
      <c r="B403" s="3" t="s">
        <v>20</v>
      </c>
      <c r="C403" s="3" t="s">
        <v>18</v>
      </c>
      <c r="D403" s="3">
        <v>20.0</v>
      </c>
      <c r="E403" s="3" t="s">
        <v>19</v>
      </c>
      <c r="F403" s="3">
        <v>8.0</v>
      </c>
      <c r="G403" s="3">
        <v>9.0</v>
      </c>
      <c r="H403" s="4">
        <f t="shared" si="1"/>
        <v>180</v>
      </c>
      <c r="I403" s="4">
        <f t="shared" si="2"/>
        <v>20</v>
      </c>
      <c r="J403" s="4">
        <f t="shared" si="3"/>
        <v>11.11111111</v>
      </c>
    </row>
    <row r="404" ht="15.75" customHeight="1">
      <c r="A404" s="3" t="s">
        <v>128</v>
      </c>
      <c r="B404" s="3" t="s">
        <v>29</v>
      </c>
      <c r="C404" s="3" t="s">
        <v>29</v>
      </c>
      <c r="D404" s="3">
        <v>10.0</v>
      </c>
      <c r="E404" s="3" t="s">
        <v>27</v>
      </c>
      <c r="F404" s="3">
        <v>240.0</v>
      </c>
      <c r="G404" s="3">
        <v>280.0</v>
      </c>
      <c r="H404" s="4">
        <f t="shared" si="1"/>
        <v>2800</v>
      </c>
      <c r="I404" s="4">
        <f t="shared" si="2"/>
        <v>400</v>
      </c>
      <c r="J404" s="4">
        <f t="shared" si="3"/>
        <v>14.28571429</v>
      </c>
    </row>
    <row r="405" ht="15.75" customHeight="1">
      <c r="A405" s="3" t="s">
        <v>128</v>
      </c>
      <c r="B405" s="3" t="s">
        <v>26</v>
      </c>
      <c r="C405" s="3" t="s">
        <v>26</v>
      </c>
      <c r="D405" s="3">
        <v>2.0</v>
      </c>
      <c r="E405" s="3" t="s">
        <v>27</v>
      </c>
      <c r="F405" s="3">
        <v>180.0</v>
      </c>
      <c r="G405" s="3">
        <v>220.0</v>
      </c>
      <c r="H405" s="4">
        <f t="shared" si="1"/>
        <v>440</v>
      </c>
      <c r="I405" s="4">
        <f t="shared" si="2"/>
        <v>80</v>
      </c>
      <c r="J405" s="4">
        <f t="shared" si="3"/>
        <v>18.18181818</v>
      </c>
    </row>
    <row r="406" ht="15.75" customHeight="1">
      <c r="A406" s="3" t="s">
        <v>129</v>
      </c>
      <c r="B406" s="3" t="s">
        <v>32</v>
      </c>
      <c r="C406" s="3" t="s">
        <v>25</v>
      </c>
      <c r="D406" s="3">
        <v>102.0</v>
      </c>
      <c r="E406" s="3" t="s">
        <v>23</v>
      </c>
      <c r="F406" s="3">
        <v>52.0</v>
      </c>
      <c r="G406" s="3">
        <v>55.0</v>
      </c>
      <c r="H406" s="4">
        <f t="shared" si="1"/>
        <v>5610</v>
      </c>
      <c r="I406" s="4">
        <f t="shared" si="2"/>
        <v>306</v>
      </c>
      <c r="J406" s="4">
        <f t="shared" si="3"/>
        <v>5.454545455</v>
      </c>
    </row>
    <row r="407" ht="15.75" customHeight="1">
      <c r="A407" s="3" t="s">
        <v>129</v>
      </c>
      <c r="B407" s="3" t="s">
        <v>11</v>
      </c>
      <c r="C407" s="3" t="s">
        <v>12</v>
      </c>
      <c r="D407" s="3">
        <v>50.0</v>
      </c>
      <c r="E407" s="3" t="s">
        <v>13</v>
      </c>
      <c r="F407" s="3">
        <v>270.0</v>
      </c>
      <c r="G407" s="3">
        <v>330.0</v>
      </c>
      <c r="H407" s="4">
        <f t="shared" si="1"/>
        <v>16500</v>
      </c>
      <c r="I407" s="4">
        <f t="shared" si="2"/>
        <v>3000</v>
      </c>
      <c r="J407" s="4">
        <f t="shared" si="3"/>
        <v>18.18181818</v>
      </c>
    </row>
    <row r="408" ht="15.75" customHeight="1">
      <c r="A408" s="3" t="s">
        <v>129</v>
      </c>
      <c r="B408" s="3" t="s">
        <v>20</v>
      </c>
      <c r="C408" s="3" t="s">
        <v>18</v>
      </c>
      <c r="D408" s="3">
        <v>300.0</v>
      </c>
      <c r="E408" s="3" t="s">
        <v>19</v>
      </c>
      <c r="F408" s="3">
        <v>8.0</v>
      </c>
      <c r="G408" s="3">
        <v>9.0</v>
      </c>
      <c r="H408" s="4">
        <f t="shared" si="1"/>
        <v>2700</v>
      </c>
      <c r="I408" s="4">
        <f t="shared" si="2"/>
        <v>300</v>
      </c>
      <c r="J408" s="4">
        <f t="shared" si="3"/>
        <v>11.11111111</v>
      </c>
    </row>
    <row r="409" ht="15.75" customHeight="1">
      <c r="A409" s="3" t="s">
        <v>129</v>
      </c>
      <c r="B409" s="3" t="s">
        <v>29</v>
      </c>
      <c r="C409" s="3" t="s">
        <v>29</v>
      </c>
      <c r="D409" s="3">
        <v>10.0</v>
      </c>
      <c r="E409" s="3" t="s">
        <v>27</v>
      </c>
      <c r="F409" s="3">
        <v>240.0</v>
      </c>
      <c r="G409" s="3">
        <v>280.0</v>
      </c>
      <c r="H409" s="4">
        <f t="shared" si="1"/>
        <v>2800</v>
      </c>
      <c r="I409" s="4">
        <f t="shared" si="2"/>
        <v>400</v>
      </c>
      <c r="J409" s="4">
        <f t="shared" si="3"/>
        <v>14.28571429</v>
      </c>
    </row>
    <row r="410" ht="15.75" customHeight="1">
      <c r="A410" s="3" t="s">
        <v>129</v>
      </c>
      <c r="B410" s="3" t="s">
        <v>14</v>
      </c>
      <c r="C410" s="3" t="s">
        <v>12</v>
      </c>
      <c r="D410" s="3">
        <v>12.0</v>
      </c>
      <c r="E410" s="3" t="s">
        <v>13</v>
      </c>
      <c r="F410" s="3">
        <v>290.0</v>
      </c>
      <c r="G410" s="3">
        <v>350.0</v>
      </c>
      <c r="H410" s="4">
        <f t="shared" si="1"/>
        <v>4200</v>
      </c>
      <c r="I410" s="4">
        <f t="shared" si="2"/>
        <v>720</v>
      </c>
      <c r="J410" s="4">
        <f t="shared" si="3"/>
        <v>17.14285714</v>
      </c>
    </row>
    <row r="411" ht="15.75" customHeight="1">
      <c r="A411" s="3" t="s">
        <v>129</v>
      </c>
      <c r="B411" s="3" t="s">
        <v>30</v>
      </c>
      <c r="C411" s="3" t="s">
        <v>18</v>
      </c>
      <c r="D411" s="3">
        <v>120.0</v>
      </c>
      <c r="E411" s="3" t="s">
        <v>19</v>
      </c>
      <c r="F411" s="3">
        <v>8.0</v>
      </c>
      <c r="G411" s="3">
        <v>12.0</v>
      </c>
      <c r="H411" s="4">
        <f t="shared" si="1"/>
        <v>1440</v>
      </c>
      <c r="I411" s="4">
        <f t="shared" si="2"/>
        <v>480</v>
      </c>
      <c r="J411" s="4">
        <f t="shared" si="3"/>
        <v>33.33333333</v>
      </c>
    </row>
    <row r="412" ht="15.75" customHeight="1">
      <c r="A412" s="3" t="s">
        <v>130</v>
      </c>
      <c r="B412" s="3" t="s">
        <v>32</v>
      </c>
      <c r="C412" s="3" t="s">
        <v>25</v>
      </c>
      <c r="D412" s="3">
        <v>52.0</v>
      </c>
      <c r="E412" s="3" t="s">
        <v>23</v>
      </c>
      <c r="F412" s="3">
        <v>52.0</v>
      </c>
      <c r="G412" s="3">
        <v>55.0</v>
      </c>
      <c r="H412" s="4">
        <f t="shared" si="1"/>
        <v>2860</v>
      </c>
      <c r="I412" s="4">
        <f t="shared" si="2"/>
        <v>156</v>
      </c>
      <c r="J412" s="4">
        <f t="shared" si="3"/>
        <v>5.454545455</v>
      </c>
    </row>
    <row r="413" ht="15.75" customHeight="1">
      <c r="A413" s="3" t="s">
        <v>130</v>
      </c>
      <c r="B413" s="3" t="s">
        <v>24</v>
      </c>
      <c r="C413" s="3" t="s">
        <v>25</v>
      </c>
      <c r="D413" s="3">
        <v>71.0</v>
      </c>
      <c r="E413" s="3" t="s">
        <v>23</v>
      </c>
      <c r="F413" s="3">
        <v>55.0</v>
      </c>
      <c r="G413" s="3">
        <v>59.0</v>
      </c>
      <c r="H413" s="4">
        <f t="shared" si="1"/>
        <v>4189</v>
      </c>
      <c r="I413" s="4">
        <f t="shared" si="2"/>
        <v>284</v>
      </c>
      <c r="J413" s="4">
        <f t="shared" si="3"/>
        <v>6.779661017</v>
      </c>
    </row>
    <row r="414" ht="15.75" customHeight="1">
      <c r="A414" s="3" t="s">
        <v>130</v>
      </c>
      <c r="B414" s="3" t="s">
        <v>17</v>
      </c>
      <c r="C414" s="3" t="s">
        <v>18</v>
      </c>
      <c r="D414" s="3">
        <v>100.0</v>
      </c>
      <c r="E414" s="3" t="s">
        <v>19</v>
      </c>
      <c r="F414" s="3">
        <v>8.0</v>
      </c>
      <c r="G414" s="3">
        <v>12.0</v>
      </c>
      <c r="H414" s="4">
        <f t="shared" si="1"/>
        <v>1200</v>
      </c>
      <c r="I414" s="4">
        <f t="shared" si="2"/>
        <v>400</v>
      </c>
      <c r="J414" s="4">
        <f t="shared" si="3"/>
        <v>33.33333333</v>
      </c>
    </row>
    <row r="415" ht="15.75" customHeight="1">
      <c r="A415" s="3" t="s">
        <v>131</v>
      </c>
      <c r="B415" s="3" t="s">
        <v>11</v>
      </c>
      <c r="C415" s="3" t="s">
        <v>12</v>
      </c>
      <c r="D415" s="3">
        <v>50.0</v>
      </c>
      <c r="E415" s="3" t="s">
        <v>13</v>
      </c>
      <c r="F415" s="3">
        <v>270.0</v>
      </c>
      <c r="G415" s="3">
        <v>330.0</v>
      </c>
      <c r="H415" s="4">
        <f t="shared" si="1"/>
        <v>16500</v>
      </c>
      <c r="I415" s="4">
        <f t="shared" si="2"/>
        <v>3000</v>
      </c>
      <c r="J415" s="4">
        <f t="shared" si="3"/>
        <v>18.18181818</v>
      </c>
    </row>
    <row r="416" ht="15.75" customHeight="1">
      <c r="A416" s="3" t="s">
        <v>131</v>
      </c>
      <c r="B416" s="3" t="s">
        <v>42</v>
      </c>
      <c r="C416" s="3" t="s">
        <v>43</v>
      </c>
      <c r="D416" s="3">
        <v>5.0</v>
      </c>
      <c r="E416" s="3" t="s">
        <v>19</v>
      </c>
      <c r="F416" s="3">
        <v>360.0</v>
      </c>
      <c r="G416" s="3">
        <v>400.0</v>
      </c>
      <c r="H416" s="4">
        <f t="shared" si="1"/>
        <v>2000</v>
      </c>
      <c r="I416" s="4">
        <f t="shared" si="2"/>
        <v>200</v>
      </c>
      <c r="J416" s="4">
        <f t="shared" si="3"/>
        <v>10</v>
      </c>
    </row>
    <row r="417" ht="15.75" customHeight="1">
      <c r="A417" s="3" t="s">
        <v>131</v>
      </c>
      <c r="B417" s="3" t="s">
        <v>20</v>
      </c>
      <c r="C417" s="3" t="s">
        <v>18</v>
      </c>
      <c r="D417" s="3">
        <v>75.0</v>
      </c>
      <c r="E417" s="3" t="s">
        <v>19</v>
      </c>
      <c r="F417" s="3">
        <v>8.0</v>
      </c>
      <c r="G417" s="3">
        <v>9.0</v>
      </c>
      <c r="H417" s="4">
        <f t="shared" si="1"/>
        <v>675</v>
      </c>
      <c r="I417" s="4">
        <f t="shared" si="2"/>
        <v>75</v>
      </c>
      <c r="J417" s="4">
        <f t="shared" si="3"/>
        <v>11.11111111</v>
      </c>
    </row>
    <row r="418" ht="15.75" customHeight="1">
      <c r="A418" s="3" t="s">
        <v>131</v>
      </c>
      <c r="B418" s="3" t="s">
        <v>32</v>
      </c>
      <c r="C418" s="3" t="s">
        <v>25</v>
      </c>
      <c r="D418" s="3">
        <v>52.0</v>
      </c>
      <c r="E418" s="3" t="s">
        <v>23</v>
      </c>
      <c r="F418" s="3">
        <v>52.0</v>
      </c>
      <c r="G418" s="3">
        <v>55.0</v>
      </c>
      <c r="H418" s="4">
        <f t="shared" si="1"/>
        <v>2860</v>
      </c>
      <c r="I418" s="4">
        <f t="shared" si="2"/>
        <v>156</v>
      </c>
      <c r="J418" s="4">
        <f t="shared" si="3"/>
        <v>5.454545455</v>
      </c>
    </row>
    <row r="419" ht="15.75" customHeight="1">
      <c r="A419" s="3" t="s">
        <v>131</v>
      </c>
      <c r="B419" s="3" t="s">
        <v>30</v>
      </c>
      <c r="C419" s="3" t="s">
        <v>18</v>
      </c>
      <c r="D419" s="3">
        <v>220.0</v>
      </c>
      <c r="E419" s="3" t="s">
        <v>19</v>
      </c>
      <c r="F419" s="3">
        <v>8.0</v>
      </c>
      <c r="G419" s="3">
        <v>12.0</v>
      </c>
      <c r="H419" s="4">
        <f t="shared" si="1"/>
        <v>2640</v>
      </c>
      <c r="I419" s="4">
        <f t="shared" si="2"/>
        <v>880</v>
      </c>
      <c r="J419" s="4">
        <f t="shared" si="3"/>
        <v>33.33333333</v>
      </c>
    </row>
    <row r="420" ht="15.75" customHeight="1">
      <c r="A420" s="3" t="s">
        <v>131</v>
      </c>
      <c r="B420" s="3" t="s">
        <v>29</v>
      </c>
      <c r="C420" s="3" t="s">
        <v>29</v>
      </c>
      <c r="D420" s="3">
        <v>25.0</v>
      </c>
      <c r="E420" s="3" t="s">
        <v>27</v>
      </c>
      <c r="F420" s="3">
        <v>240.0</v>
      </c>
      <c r="G420" s="3">
        <v>280.0</v>
      </c>
      <c r="H420" s="4">
        <f t="shared" si="1"/>
        <v>7000</v>
      </c>
      <c r="I420" s="4">
        <f t="shared" si="2"/>
        <v>1000</v>
      </c>
      <c r="J420" s="4">
        <f t="shared" si="3"/>
        <v>14.28571429</v>
      </c>
    </row>
    <row r="421" ht="15.75" customHeight="1">
      <c r="A421" s="3" t="s">
        <v>131</v>
      </c>
      <c r="B421" s="3" t="s">
        <v>14</v>
      </c>
      <c r="C421" s="3" t="s">
        <v>12</v>
      </c>
      <c r="D421" s="3">
        <v>40.0</v>
      </c>
      <c r="E421" s="3" t="s">
        <v>13</v>
      </c>
      <c r="F421" s="3">
        <v>290.0</v>
      </c>
      <c r="G421" s="3">
        <v>350.0</v>
      </c>
      <c r="H421" s="4">
        <f t="shared" si="1"/>
        <v>14000</v>
      </c>
      <c r="I421" s="4">
        <f t="shared" si="2"/>
        <v>2400</v>
      </c>
      <c r="J421" s="4">
        <f t="shared" si="3"/>
        <v>17.14285714</v>
      </c>
    </row>
    <row r="422" ht="15.75" customHeight="1">
      <c r="A422" s="3" t="s">
        <v>132</v>
      </c>
      <c r="B422" s="3" t="s">
        <v>30</v>
      </c>
      <c r="C422" s="3" t="s">
        <v>18</v>
      </c>
      <c r="D422" s="3">
        <v>120.0</v>
      </c>
      <c r="E422" s="3" t="s">
        <v>19</v>
      </c>
      <c r="F422" s="3">
        <v>8.0</v>
      </c>
      <c r="G422" s="3">
        <v>12.0</v>
      </c>
      <c r="H422" s="4">
        <f t="shared" si="1"/>
        <v>1440</v>
      </c>
      <c r="I422" s="4">
        <f t="shared" si="2"/>
        <v>480</v>
      </c>
      <c r="J422" s="4">
        <f t="shared" si="3"/>
        <v>33.33333333</v>
      </c>
    </row>
    <row r="423" ht="15.75" customHeight="1">
      <c r="A423" s="3" t="s">
        <v>132</v>
      </c>
      <c r="B423" s="3" t="s">
        <v>20</v>
      </c>
      <c r="C423" s="3" t="s">
        <v>18</v>
      </c>
      <c r="D423" s="3">
        <v>25.0</v>
      </c>
      <c r="E423" s="3" t="s">
        <v>19</v>
      </c>
      <c r="F423" s="3">
        <v>8.0</v>
      </c>
      <c r="G423" s="3">
        <v>9.0</v>
      </c>
      <c r="H423" s="4">
        <f t="shared" si="1"/>
        <v>225</v>
      </c>
      <c r="I423" s="4">
        <f t="shared" si="2"/>
        <v>25</v>
      </c>
      <c r="J423" s="4">
        <f t="shared" si="3"/>
        <v>11.11111111</v>
      </c>
    </row>
    <row r="424" ht="15.75" customHeight="1">
      <c r="A424" s="3" t="s">
        <v>132</v>
      </c>
      <c r="B424" s="3" t="s">
        <v>29</v>
      </c>
      <c r="C424" s="3" t="s">
        <v>29</v>
      </c>
      <c r="D424" s="3">
        <v>5.0</v>
      </c>
      <c r="E424" s="3" t="s">
        <v>27</v>
      </c>
      <c r="F424" s="3">
        <v>240.0</v>
      </c>
      <c r="G424" s="3">
        <v>280.0</v>
      </c>
      <c r="H424" s="4">
        <f t="shared" si="1"/>
        <v>1400</v>
      </c>
      <c r="I424" s="4">
        <f t="shared" si="2"/>
        <v>200</v>
      </c>
      <c r="J424" s="4">
        <f t="shared" si="3"/>
        <v>14.28571429</v>
      </c>
    </row>
    <row r="425" ht="15.75" customHeight="1">
      <c r="A425" s="3" t="s">
        <v>132</v>
      </c>
      <c r="B425" s="3" t="s">
        <v>26</v>
      </c>
      <c r="C425" s="3" t="s">
        <v>26</v>
      </c>
      <c r="D425" s="3">
        <v>5.0</v>
      </c>
      <c r="E425" s="3" t="s">
        <v>27</v>
      </c>
      <c r="F425" s="3">
        <v>180.0</v>
      </c>
      <c r="G425" s="3">
        <v>220.0</v>
      </c>
      <c r="H425" s="4">
        <f t="shared" si="1"/>
        <v>1100</v>
      </c>
      <c r="I425" s="4">
        <f t="shared" si="2"/>
        <v>200</v>
      </c>
      <c r="J425" s="4">
        <f t="shared" si="3"/>
        <v>18.18181818</v>
      </c>
    </row>
    <row r="426" ht="15.75" customHeight="1">
      <c r="A426" s="3" t="s">
        <v>132</v>
      </c>
      <c r="B426" s="3" t="s">
        <v>17</v>
      </c>
      <c r="C426" s="3" t="s">
        <v>18</v>
      </c>
      <c r="D426" s="3">
        <v>100.0</v>
      </c>
      <c r="E426" s="3" t="s">
        <v>19</v>
      </c>
      <c r="F426" s="3">
        <v>8.0</v>
      </c>
      <c r="G426" s="3">
        <v>12.0</v>
      </c>
      <c r="H426" s="4">
        <f t="shared" si="1"/>
        <v>1200</v>
      </c>
      <c r="I426" s="4">
        <f t="shared" si="2"/>
        <v>400</v>
      </c>
      <c r="J426" s="4">
        <f t="shared" si="3"/>
        <v>33.33333333</v>
      </c>
    </row>
    <row r="427" ht="15.75" customHeight="1">
      <c r="A427" s="3" t="s">
        <v>133</v>
      </c>
      <c r="B427" s="3" t="s">
        <v>15</v>
      </c>
      <c r="C427" s="3" t="s">
        <v>12</v>
      </c>
      <c r="D427" s="3">
        <v>60.0</v>
      </c>
      <c r="E427" s="3" t="s">
        <v>13</v>
      </c>
      <c r="F427" s="3">
        <v>270.0</v>
      </c>
      <c r="G427" s="3">
        <v>320.0</v>
      </c>
      <c r="H427" s="4">
        <f t="shared" si="1"/>
        <v>19200</v>
      </c>
      <c r="I427" s="4">
        <f t="shared" si="2"/>
        <v>3000</v>
      </c>
      <c r="J427" s="4">
        <f t="shared" si="3"/>
        <v>15.625</v>
      </c>
    </row>
    <row r="428" ht="15.75" customHeight="1">
      <c r="A428" s="3" t="s">
        <v>133</v>
      </c>
      <c r="B428" s="3" t="s">
        <v>17</v>
      </c>
      <c r="C428" s="3" t="s">
        <v>18</v>
      </c>
      <c r="D428" s="3">
        <v>20.0</v>
      </c>
      <c r="E428" s="3" t="s">
        <v>19</v>
      </c>
      <c r="F428" s="3">
        <v>8.0</v>
      </c>
      <c r="G428" s="3">
        <v>12.0</v>
      </c>
      <c r="H428" s="4">
        <f t="shared" si="1"/>
        <v>240</v>
      </c>
      <c r="I428" s="4">
        <f t="shared" si="2"/>
        <v>80</v>
      </c>
      <c r="J428" s="4">
        <f t="shared" si="3"/>
        <v>33.33333333</v>
      </c>
    </row>
    <row r="429" ht="15.75" customHeight="1">
      <c r="A429" s="3" t="s">
        <v>133</v>
      </c>
      <c r="B429" s="3" t="s">
        <v>24</v>
      </c>
      <c r="C429" s="3" t="s">
        <v>25</v>
      </c>
      <c r="D429" s="3">
        <v>142.0</v>
      </c>
      <c r="E429" s="3" t="s">
        <v>23</v>
      </c>
      <c r="F429" s="3">
        <v>52.0</v>
      </c>
      <c r="G429" s="3">
        <v>55.0</v>
      </c>
      <c r="H429" s="4">
        <f t="shared" si="1"/>
        <v>7810</v>
      </c>
      <c r="I429" s="4">
        <f t="shared" si="2"/>
        <v>426</v>
      </c>
      <c r="J429" s="4">
        <f t="shared" si="3"/>
        <v>5.454545455</v>
      </c>
    </row>
    <row r="430" ht="15.75" customHeight="1">
      <c r="A430" s="3" t="s">
        <v>133</v>
      </c>
      <c r="B430" s="3" t="s">
        <v>29</v>
      </c>
      <c r="C430" s="3" t="s">
        <v>29</v>
      </c>
      <c r="D430" s="3">
        <v>20.0</v>
      </c>
      <c r="E430" s="3" t="s">
        <v>27</v>
      </c>
      <c r="F430" s="3">
        <v>240.0</v>
      </c>
      <c r="G430" s="3">
        <v>280.0</v>
      </c>
      <c r="H430" s="4">
        <f t="shared" si="1"/>
        <v>5600</v>
      </c>
      <c r="I430" s="4">
        <f t="shared" si="2"/>
        <v>800</v>
      </c>
      <c r="J430" s="4">
        <f t="shared" si="3"/>
        <v>14.28571429</v>
      </c>
    </row>
    <row r="431" ht="15.75" customHeight="1">
      <c r="A431" s="3" t="s">
        <v>133</v>
      </c>
      <c r="B431" s="3" t="s">
        <v>30</v>
      </c>
      <c r="C431" s="3" t="s">
        <v>18</v>
      </c>
      <c r="D431" s="3">
        <v>200.0</v>
      </c>
      <c r="E431" s="3" t="s">
        <v>19</v>
      </c>
      <c r="F431" s="3">
        <v>8.0</v>
      </c>
      <c r="G431" s="3">
        <v>12.0</v>
      </c>
      <c r="H431" s="4">
        <f t="shared" si="1"/>
        <v>2400</v>
      </c>
      <c r="I431" s="4">
        <f t="shared" si="2"/>
        <v>800</v>
      </c>
      <c r="J431" s="4">
        <f t="shared" si="3"/>
        <v>33.33333333</v>
      </c>
    </row>
    <row r="432" ht="15.75" customHeight="1">
      <c r="A432" s="3" t="s">
        <v>134</v>
      </c>
      <c r="B432" s="3" t="s">
        <v>30</v>
      </c>
      <c r="C432" s="3" t="s">
        <v>18</v>
      </c>
      <c r="D432" s="3">
        <v>200.0</v>
      </c>
      <c r="E432" s="3" t="s">
        <v>19</v>
      </c>
      <c r="F432" s="3">
        <v>8.0</v>
      </c>
      <c r="G432" s="3">
        <v>12.0</v>
      </c>
      <c r="H432" s="4">
        <f t="shared" si="1"/>
        <v>2400</v>
      </c>
      <c r="I432" s="4">
        <f t="shared" si="2"/>
        <v>800</v>
      </c>
      <c r="J432" s="4">
        <f t="shared" si="3"/>
        <v>33.33333333</v>
      </c>
    </row>
    <row r="433" ht="15.75" customHeight="1">
      <c r="A433" s="3" t="s">
        <v>134</v>
      </c>
      <c r="B433" s="3" t="s">
        <v>32</v>
      </c>
      <c r="C433" s="3" t="s">
        <v>25</v>
      </c>
      <c r="D433" s="3">
        <v>102.0</v>
      </c>
      <c r="E433" s="3" t="s">
        <v>23</v>
      </c>
      <c r="F433" s="3">
        <v>52.0</v>
      </c>
      <c r="G433" s="3">
        <v>55.0</v>
      </c>
      <c r="H433" s="4">
        <f t="shared" si="1"/>
        <v>5610</v>
      </c>
      <c r="I433" s="4">
        <f t="shared" si="2"/>
        <v>306</v>
      </c>
      <c r="J433" s="4">
        <f t="shared" si="3"/>
        <v>5.454545455</v>
      </c>
    </row>
    <row r="434" ht="15.75" customHeight="1">
      <c r="A434" s="3" t="s">
        <v>134</v>
      </c>
      <c r="B434" s="3" t="s">
        <v>17</v>
      </c>
      <c r="C434" s="3" t="s">
        <v>18</v>
      </c>
      <c r="D434" s="3">
        <v>150.0</v>
      </c>
      <c r="E434" s="3" t="s">
        <v>19</v>
      </c>
      <c r="F434" s="3">
        <v>8.0</v>
      </c>
      <c r="G434" s="3">
        <v>12.0</v>
      </c>
      <c r="H434" s="4">
        <f t="shared" si="1"/>
        <v>1800</v>
      </c>
      <c r="I434" s="4">
        <f t="shared" si="2"/>
        <v>600</v>
      </c>
      <c r="J434" s="4">
        <f t="shared" si="3"/>
        <v>33.33333333</v>
      </c>
    </row>
    <row r="435" ht="15.75" customHeight="1">
      <c r="A435" s="3" t="s">
        <v>135</v>
      </c>
      <c r="B435" s="3" t="s">
        <v>32</v>
      </c>
      <c r="C435" s="3" t="s">
        <v>25</v>
      </c>
      <c r="D435" s="3">
        <v>102.0</v>
      </c>
      <c r="E435" s="3" t="s">
        <v>23</v>
      </c>
      <c r="F435" s="3">
        <v>52.0</v>
      </c>
      <c r="G435" s="3">
        <v>55.0</v>
      </c>
      <c r="H435" s="4">
        <f t="shared" si="1"/>
        <v>5610</v>
      </c>
      <c r="I435" s="4">
        <f t="shared" si="2"/>
        <v>306</v>
      </c>
      <c r="J435" s="4">
        <f t="shared" si="3"/>
        <v>5.454545455</v>
      </c>
    </row>
    <row r="436" ht="15.75" customHeight="1">
      <c r="A436" s="3" t="s">
        <v>135</v>
      </c>
      <c r="B436" s="3" t="s">
        <v>30</v>
      </c>
      <c r="C436" s="3" t="s">
        <v>18</v>
      </c>
      <c r="D436" s="3">
        <v>250.0</v>
      </c>
      <c r="E436" s="3" t="s">
        <v>19</v>
      </c>
      <c r="F436" s="3">
        <v>8.0</v>
      </c>
      <c r="G436" s="3">
        <v>12.0</v>
      </c>
      <c r="H436" s="4">
        <f t="shared" si="1"/>
        <v>3000</v>
      </c>
      <c r="I436" s="4">
        <f t="shared" si="2"/>
        <v>1000</v>
      </c>
      <c r="J436" s="4">
        <f t="shared" si="3"/>
        <v>33.33333333</v>
      </c>
    </row>
    <row r="437" ht="15.75" customHeight="1">
      <c r="A437" s="3" t="s">
        <v>135</v>
      </c>
      <c r="B437" s="3" t="s">
        <v>14</v>
      </c>
      <c r="C437" s="3" t="s">
        <v>12</v>
      </c>
      <c r="D437" s="3">
        <v>15.0</v>
      </c>
      <c r="E437" s="3" t="s">
        <v>13</v>
      </c>
      <c r="F437" s="3">
        <v>290.0</v>
      </c>
      <c r="G437" s="3">
        <v>350.0</v>
      </c>
      <c r="H437" s="4">
        <f t="shared" si="1"/>
        <v>5250</v>
      </c>
      <c r="I437" s="4">
        <f t="shared" si="2"/>
        <v>900</v>
      </c>
      <c r="J437" s="4">
        <f t="shared" si="3"/>
        <v>17.14285714</v>
      </c>
    </row>
    <row r="438" ht="15.75" customHeight="1">
      <c r="A438" s="3" t="s">
        <v>135</v>
      </c>
      <c r="B438" s="3" t="s">
        <v>26</v>
      </c>
      <c r="C438" s="3" t="s">
        <v>26</v>
      </c>
      <c r="D438" s="3">
        <v>10.0</v>
      </c>
      <c r="E438" s="3" t="s">
        <v>27</v>
      </c>
      <c r="F438" s="3">
        <v>180.0</v>
      </c>
      <c r="G438" s="3">
        <v>220.0</v>
      </c>
      <c r="H438" s="4">
        <f t="shared" si="1"/>
        <v>2200</v>
      </c>
      <c r="I438" s="4">
        <f t="shared" si="2"/>
        <v>400</v>
      </c>
      <c r="J438" s="4">
        <f t="shared" si="3"/>
        <v>18.18181818</v>
      </c>
    </row>
    <row r="439" ht="15.75" customHeight="1">
      <c r="A439" s="3" t="s">
        <v>136</v>
      </c>
      <c r="B439" s="3" t="s">
        <v>26</v>
      </c>
      <c r="C439" s="3" t="s">
        <v>26</v>
      </c>
      <c r="D439" s="3">
        <v>5.0</v>
      </c>
      <c r="E439" s="3" t="s">
        <v>27</v>
      </c>
      <c r="F439" s="3">
        <v>180.0</v>
      </c>
      <c r="G439" s="3">
        <v>220.0</v>
      </c>
      <c r="H439" s="4">
        <f t="shared" si="1"/>
        <v>1100</v>
      </c>
      <c r="I439" s="4">
        <f t="shared" si="2"/>
        <v>200</v>
      </c>
      <c r="J439" s="4">
        <f t="shared" si="3"/>
        <v>18.18181818</v>
      </c>
    </row>
    <row r="440" ht="15.75" customHeight="1">
      <c r="A440" s="3" t="s">
        <v>136</v>
      </c>
      <c r="B440" s="3" t="s">
        <v>11</v>
      </c>
      <c r="C440" s="3" t="s">
        <v>12</v>
      </c>
      <c r="D440" s="3">
        <v>60.0</v>
      </c>
      <c r="E440" s="3" t="s">
        <v>13</v>
      </c>
      <c r="F440" s="3">
        <v>270.0</v>
      </c>
      <c r="G440" s="3">
        <v>330.0</v>
      </c>
      <c r="H440" s="4">
        <f t="shared" si="1"/>
        <v>19800</v>
      </c>
      <c r="I440" s="4">
        <f t="shared" si="2"/>
        <v>3600</v>
      </c>
      <c r="J440" s="4">
        <f t="shared" si="3"/>
        <v>18.18181818</v>
      </c>
    </row>
    <row r="441" ht="15.75" customHeight="1">
      <c r="A441" s="3" t="s">
        <v>136</v>
      </c>
      <c r="B441" s="3" t="s">
        <v>14</v>
      </c>
      <c r="C441" s="3" t="s">
        <v>12</v>
      </c>
      <c r="D441" s="3">
        <v>3.0</v>
      </c>
      <c r="E441" s="3" t="s">
        <v>13</v>
      </c>
      <c r="F441" s="3">
        <v>290.0</v>
      </c>
      <c r="G441" s="3">
        <v>350.0</v>
      </c>
      <c r="H441" s="4">
        <f t="shared" si="1"/>
        <v>1050</v>
      </c>
      <c r="I441" s="4">
        <f t="shared" si="2"/>
        <v>180</v>
      </c>
      <c r="J441" s="4">
        <f t="shared" si="3"/>
        <v>17.14285714</v>
      </c>
    </row>
    <row r="442" ht="15.75" customHeight="1">
      <c r="A442" s="3" t="s">
        <v>137</v>
      </c>
      <c r="B442" s="3" t="s">
        <v>30</v>
      </c>
      <c r="C442" s="3" t="s">
        <v>18</v>
      </c>
      <c r="D442" s="3">
        <v>90.0</v>
      </c>
      <c r="E442" s="3" t="s">
        <v>19</v>
      </c>
      <c r="F442" s="3">
        <v>8.0</v>
      </c>
      <c r="G442" s="3">
        <v>12.0</v>
      </c>
      <c r="H442" s="4">
        <f t="shared" si="1"/>
        <v>1080</v>
      </c>
      <c r="I442" s="4">
        <f t="shared" si="2"/>
        <v>360</v>
      </c>
      <c r="J442" s="4">
        <f t="shared" si="3"/>
        <v>33.33333333</v>
      </c>
    </row>
    <row r="443" ht="15.75" customHeight="1">
      <c r="A443" s="3" t="s">
        <v>137</v>
      </c>
      <c r="B443" s="3" t="s">
        <v>14</v>
      </c>
      <c r="C443" s="3" t="s">
        <v>12</v>
      </c>
      <c r="D443" s="3">
        <v>80.0</v>
      </c>
      <c r="E443" s="3" t="s">
        <v>13</v>
      </c>
      <c r="F443" s="3">
        <v>290.0</v>
      </c>
      <c r="G443" s="3">
        <v>350.0</v>
      </c>
      <c r="H443" s="4">
        <f t="shared" si="1"/>
        <v>28000</v>
      </c>
      <c r="I443" s="4">
        <f t="shared" si="2"/>
        <v>4800</v>
      </c>
      <c r="J443" s="4">
        <f t="shared" si="3"/>
        <v>17.14285714</v>
      </c>
    </row>
    <row r="444" ht="15.75" customHeight="1">
      <c r="A444" s="3" t="s">
        <v>137</v>
      </c>
      <c r="B444" s="3" t="s">
        <v>17</v>
      </c>
      <c r="C444" s="3" t="s">
        <v>18</v>
      </c>
      <c r="D444" s="3">
        <v>200.0</v>
      </c>
      <c r="E444" s="3" t="s">
        <v>19</v>
      </c>
      <c r="F444" s="3">
        <v>8.0</v>
      </c>
      <c r="G444" s="3">
        <v>12.0</v>
      </c>
      <c r="H444" s="4">
        <f t="shared" si="1"/>
        <v>2400</v>
      </c>
      <c r="I444" s="4">
        <f t="shared" si="2"/>
        <v>800</v>
      </c>
      <c r="J444" s="4">
        <f t="shared" si="3"/>
        <v>33.33333333</v>
      </c>
    </row>
    <row r="445" ht="15.75" customHeight="1">
      <c r="A445" s="3" t="s">
        <v>137</v>
      </c>
      <c r="B445" s="3" t="s">
        <v>24</v>
      </c>
      <c r="C445" s="3" t="s">
        <v>25</v>
      </c>
      <c r="D445" s="3">
        <v>214.0</v>
      </c>
      <c r="E445" s="3" t="s">
        <v>23</v>
      </c>
      <c r="F445" s="3">
        <v>52.0</v>
      </c>
      <c r="G445" s="3">
        <v>55.0</v>
      </c>
      <c r="H445" s="4">
        <f t="shared" si="1"/>
        <v>11770</v>
      </c>
      <c r="I445" s="4">
        <f t="shared" si="2"/>
        <v>642</v>
      </c>
      <c r="J445" s="4">
        <f t="shared" si="3"/>
        <v>5.454545455</v>
      </c>
    </row>
    <row r="446" ht="15.75" customHeight="1">
      <c r="A446" s="3" t="s">
        <v>137</v>
      </c>
      <c r="B446" s="3" t="s">
        <v>85</v>
      </c>
      <c r="C446" s="3" t="s">
        <v>25</v>
      </c>
      <c r="D446" s="3">
        <v>92.0</v>
      </c>
      <c r="E446" s="3" t="s">
        <v>23</v>
      </c>
      <c r="F446" s="3">
        <v>55.0</v>
      </c>
      <c r="G446" s="3">
        <v>59.0</v>
      </c>
      <c r="H446" s="4">
        <f t="shared" si="1"/>
        <v>5428</v>
      </c>
      <c r="I446" s="4">
        <f t="shared" si="2"/>
        <v>368</v>
      </c>
      <c r="J446" s="4">
        <f t="shared" si="3"/>
        <v>6.779661017</v>
      </c>
    </row>
    <row r="447" ht="15.75" customHeight="1">
      <c r="A447" s="3" t="s">
        <v>137</v>
      </c>
      <c r="B447" s="3" t="s">
        <v>26</v>
      </c>
      <c r="C447" s="3" t="s">
        <v>26</v>
      </c>
      <c r="D447" s="3">
        <v>8.0</v>
      </c>
      <c r="E447" s="3" t="s">
        <v>27</v>
      </c>
      <c r="F447" s="3">
        <v>180.0</v>
      </c>
      <c r="G447" s="3">
        <v>220.0</v>
      </c>
      <c r="H447" s="4">
        <f t="shared" si="1"/>
        <v>1760</v>
      </c>
      <c r="I447" s="4">
        <f t="shared" si="2"/>
        <v>320</v>
      </c>
      <c r="J447" s="4">
        <f t="shared" si="3"/>
        <v>18.18181818</v>
      </c>
    </row>
    <row r="448" ht="15.75" customHeight="1">
      <c r="A448" s="3" t="s">
        <v>138</v>
      </c>
      <c r="B448" s="3" t="s">
        <v>26</v>
      </c>
      <c r="C448" s="3" t="s">
        <v>26</v>
      </c>
      <c r="D448" s="3">
        <v>10.0</v>
      </c>
      <c r="E448" s="3" t="s">
        <v>27</v>
      </c>
      <c r="F448" s="3">
        <v>180.0</v>
      </c>
      <c r="G448" s="3">
        <v>220.0</v>
      </c>
      <c r="H448" s="4">
        <f t="shared" si="1"/>
        <v>2200</v>
      </c>
      <c r="I448" s="4">
        <f t="shared" si="2"/>
        <v>400</v>
      </c>
      <c r="J448" s="4">
        <f t="shared" si="3"/>
        <v>18.18181818</v>
      </c>
    </row>
    <row r="449" ht="15.75" customHeight="1">
      <c r="A449" s="3" t="s">
        <v>138</v>
      </c>
      <c r="B449" s="3" t="s">
        <v>24</v>
      </c>
      <c r="C449" s="3" t="s">
        <v>25</v>
      </c>
      <c r="D449" s="3">
        <v>71.0</v>
      </c>
      <c r="E449" s="3" t="s">
        <v>23</v>
      </c>
      <c r="F449" s="3">
        <v>52.0</v>
      </c>
      <c r="G449" s="3">
        <v>55.0</v>
      </c>
      <c r="H449" s="4">
        <f t="shared" si="1"/>
        <v>3905</v>
      </c>
      <c r="I449" s="4">
        <f t="shared" si="2"/>
        <v>213</v>
      </c>
      <c r="J449" s="4">
        <f t="shared" si="3"/>
        <v>5.454545455</v>
      </c>
    </row>
    <row r="450" ht="15.75" customHeight="1">
      <c r="A450" s="3" t="s">
        <v>138</v>
      </c>
      <c r="B450" s="3" t="s">
        <v>14</v>
      </c>
      <c r="C450" s="3" t="s">
        <v>12</v>
      </c>
      <c r="D450" s="3">
        <v>2.0</v>
      </c>
      <c r="E450" s="3" t="s">
        <v>13</v>
      </c>
      <c r="F450" s="3">
        <v>290.0</v>
      </c>
      <c r="G450" s="3">
        <v>350.0</v>
      </c>
      <c r="H450" s="4">
        <f t="shared" si="1"/>
        <v>700</v>
      </c>
      <c r="I450" s="4">
        <f t="shared" si="2"/>
        <v>120</v>
      </c>
      <c r="J450" s="4">
        <f t="shared" si="3"/>
        <v>17.14285714</v>
      </c>
    </row>
    <row r="451" ht="15.75" customHeight="1">
      <c r="A451" s="3" t="s">
        <v>138</v>
      </c>
      <c r="B451" s="3" t="s">
        <v>15</v>
      </c>
      <c r="C451" s="3" t="s">
        <v>12</v>
      </c>
      <c r="D451" s="3">
        <v>8.0</v>
      </c>
      <c r="E451" s="3" t="s">
        <v>13</v>
      </c>
      <c r="F451" s="3">
        <v>270.0</v>
      </c>
      <c r="G451" s="3">
        <v>320.0</v>
      </c>
      <c r="H451" s="4">
        <f t="shared" si="1"/>
        <v>2560</v>
      </c>
      <c r="I451" s="4">
        <f t="shared" si="2"/>
        <v>400</v>
      </c>
      <c r="J451" s="4">
        <f t="shared" si="3"/>
        <v>15.625</v>
      </c>
    </row>
    <row r="452" ht="15.75" customHeight="1">
      <c r="A452" s="3" t="s">
        <v>138</v>
      </c>
      <c r="B452" s="3" t="s">
        <v>17</v>
      </c>
      <c r="C452" s="3" t="s">
        <v>18</v>
      </c>
      <c r="D452" s="3">
        <v>20.0</v>
      </c>
      <c r="E452" s="3" t="s">
        <v>19</v>
      </c>
      <c r="F452" s="3">
        <v>8.0</v>
      </c>
      <c r="G452" s="3">
        <v>12.0</v>
      </c>
      <c r="H452" s="4">
        <f t="shared" si="1"/>
        <v>240</v>
      </c>
      <c r="I452" s="4">
        <f t="shared" si="2"/>
        <v>80</v>
      </c>
      <c r="J452" s="4">
        <f t="shared" si="3"/>
        <v>33.33333333</v>
      </c>
    </row>
    <row r="453" ht="15.75" customHeight="1">
      <c r="A453" s="3" t="s">
        <v>139</v>
      </c>
      <c r="B453" s="3" t="s">
        <v>26</v>
      </c>
      <c r="C453" s="3" t="s">
        <v>26</v>
      </c>
      <c r="D453" s="3">
        <v>30.0</v>
      </c>
      <c r="E453" s="3" t="s">
        <v>27</v>
      </c>
      <c r="F453" s="3">
        <v>180.0</v>
      </c>
      <c r="G453" s="3">
        <v>220.0</v>
      </c>
      <c r="H453" s="4">
        <f t="shared" si="1"/>
        <v>6600</v>
      </c>
      <c r="I453" s="4">
        <f t="shared" si="2"/>
        <v>1200</v>
      </c>
      <c r="J453" s="4">
        <f t="shared" si="3"/>
        <v>18.18181818</v>
      </c>
    </row>
    <row r="454" ht="15.75" customHeight="1">
      <c r="A454" s="3" t="s">
        <v>140</v>
      </c>
      <c r="B454" s="3" t="s">
        <v>17</v>
      </c>
      <c r="C454" s="3" t="s">
        <v>18</v>
      </c>
      <c r="D454" s="3">
        <v>25.0</v>
      </c>
      <c r="E454" s="3" t="s">
        <v>19</v>
      </c>
      <c r="F454" s="3">
        <v>8.0</v>
      </c>
      <c r="G454" s="3">
        <v>12.0</v>
      </c>
      <c r="H454" s="4">
        <f t="shared" si="1"/>
        <v>300</v>
      </c>
      <c r="I454" s="4">
        <f t="shared" si="2"/>
        <v>100</v>
      </c>
      <c r="J454" s="4">
        <f t="shared" si="3"/>
        <v>33.33333333</v>
      </c>
    </row>
    <row r="455" ht="15.75" customHeight="1">
      <c r="A455" s="3" t="s">
        <v>140</v>
      </c>
      <c r="B455" s="3" t="s">
        <v>15</v>
      </c>
      <c r="C455" s="3" t="s">
        <v>12</v>
      </c>
      <c r="D455" s="3">
        <v>8.0</v>
      </c>
      <c r="E455" s="3" t="s">
        <v>13</v>
      </c>
      <c r="F455" s="3">
        <v>270.0</v>
      </c>
      <c r="G455" s="3">
        <v>320.0</v>
      </c>
      <c r="H455" s="4">
        <f t="shared" si="1"/>
        <v>2560</v>
      </c>
      <c r="I455" s="4">
        <f t="shared" si="2"/>
        <v>400</v>
      </c>
      <c r="J455" s="4">
        <f t="shared" si="3"/>
        <v>15.625</v>
      </c>
    </row>
    <row r="456" ht="15.75" customHeight="1">
      <c r="A456" s="3" t="s">
        <v>140</v>
      </c>
      <c r="B456" s="3" t="s">
        <v>26</v>
      </c>
      <c r="C456" s="3" t="s">
        <v>26</v>
      </c>
      <c r="D456" s="3">
        <v>10.0</v>
      </c>
      <c r="E456" s="3" t="s">
        <v>27</v>
      </c>
      <c r="F456" s="3">
        <v>180.0</v>
      </c>
      <c r="G456" s="3">
        <v>220.0</v>
      </c>
      <c r="H456" s="4">
        <f t="shared" si="1"/>
        <v>2200</v>
      </c>
      <c r="I456" s="4">
        <f t="shared" si="2"/>
        <v>400</v>
      </c>
      <c r="J456" s="4">
        <f t="shared" si="3"/>
        <v>18.18181818</v>
      </c>
    </row>
    <row r="457" ht="15.75" customHeight="1">
      <c r="A457" s="3" t="s">
        <v>140</v>
      </c>
      <c r="B457" s="3" t="s">
        <v>85</v>
      </c>
      <c r="C457" s="3" t="s">
        <v>25</v>
      </c>
      <c r="D457" s="3">
        <v>46.0</v>
      </c>
      <c r="E457" s="3" t="s">
        <v>23</v>
      </c>
      <c r="F457" s="3">
        <v>55.0</v>
      </c>
      <c r="G457" s="3">
        <v>59.0</v>
      </c>
      <c r="H457" s="4">
        <f t="shared" si="1"/>
        <v>2714</v>
      </c>
      <c r="I457" s="4">
        <f t="shared" si="2"/>
        <v>184</v>
      </c>
      <c r="J457" s="4">
        <f t="shared" si="3"/>
        <v>6.779661017</v>
      </c>
    </row>
    <row r="458" ht="15.75" customHeight="1">
      <c r="A458" s="3" t="s">
        <v>140</v>
      </c>
      <c r="B458" s="3" t="s">
        <v>14</v>
      </c>
      <c r="C458" s="3" t="s">
        <v>12</v>
      </c>
      <c r="D458" s="3">
        <v>12.0</v>
      </c>
      <c r="E458" s="3" t="s">
        <v>13</v>
      </c>
      <c r="F458" s="3">
        <v>290.0</v>
      </c>
      <c r="G458" s="3">
        <v>350.0</v>
      </c>
      <c r="H458" s="4">
        <f t="shared" si="1"/>
        <v>4200</v>
      </c>
      <c r="I458" s="4">
        <f t="shared" si="2"/>
        <v>720</v>
      </c>
      <c r="J458" s="4">
        <f t="shared" si="3"/>
        <v>17.14285714</v>
      </c>
    </row>
    <row r="459" ht="15.75" customHeight="1">
      <c r="A459" s="3" t="s">
        <v>140</v>
      </c>
      <c r="B459" s="3" t="s">
        <v>30</v>
      </c>
      <c r="C459" s="3" t="s">
        <v>18</v>
      </c>
      <c r="D459" s="3">
        <v>50.0</v>
      </c>
      <c r="E459" s="3" t="s">
        <v>19</v>
      </c>
      <c r="F459" s="3">
        <v>8.0</v>
      </c>
      <c r="G459" s="3">
        <v>12.0</v>
      </c>
      <c r="H459" s="4">
        <f t="shared" si="1"/>
        <v>600</v>
      </c>
      <c r="I459" s="4">
        <f t="shared" si="2"/>
        <v>200</v>
      </c>
      <c r="J459" s="4">
        <f t="shared" si="3"/>
        <v>33.33333333</v>
      </c>
    </row>
    <row r="460" ht="15.75" customHeight="1">
      <c r="A460" s="3" t="s">
        <v>141</v>
      </c>
      <c r="B460" s="3" t="s">
        <v>14</v>
      </c>
      <c r="C460" s="3" t="s">
        <v>12</v>
      </c>
      <c r="D460" s="3">
        <v>5.0</v>
      </c>
      <c r="E460" s="3" t="s">
        <v>19</v>
      </c>
      <c r="F460" s="3">
        <v>290.0</v>
      </c>
      <c r="G460" s="3">
        <v>350.0</v>
      </c>
      <c r="H460" s="4">
        <f t="shared" si="1"/>
        <v>1750</v>
      </c>
      <c r="I460" s="4">
        <f t="shared" si="2"/>
        <v>300</v>
      </c>
      <c r="J460" s="4">
        <f t="shared" si="3"/>
        <v>17.14285714</v>
      </c>
    </row>
    <row r="461" ht="15.75" customHeight="1">
      <c r="A461" s="3" t="s">
        <v>141</v>
      </c>
      <c r="B461" s="3" t="s">
        <v>24</v>
      </c>
      <c r="C461" s="3" t="s">
        <v>25</v>
      </c>
      <c r="D461" s="3">
        <v>213.0</v>
      </c>
      <c r="E461" s="3" t="s">
        <v>23</v>
      </c>
      <c r="F461" s="3">
        <v>52.0</v>
      </c>
      <c r="G461" s="3">
        <v>55.0</v>
      </c>
      <c r="H461" s="4">
        <f t="shared" si="1"/>
        <v>11715</v>
      </c>
      <c r="I461" s="4">
        <f t="shared" si="2"/>
        <v>639</v>
      </c>
      <c r="J461" s="4">
        <f t="shared" si="3"/>
        <v>5.454545455</v>
      </c>
    </row>
    <row r="462" ht="15.75" customHeight="1">
      <c r="A462" s="3" t="s">
        <v>141</v>
      </c>
      <c r="B462" s="3" t="s">
        <v>11</v>
      </c>
      <c r="C462" s="3" t="s">
        <v>12</v>
      </c>
      <c r="D462" s="3">
        <v>30.0</v>
      </c>
      <c r="E462" s="3" t="s">
        <v>13</v>
      </c>
      <c r="F462" s="3">
        <v>270.0</v>
      </c>
      <c r="G462" s="3">
        <v>320.0</v>
      </c>
      <c r="H462" s="4">
        <f t="shared" si="1"/>
        <v>9600</v>
      </c>
      <c r="I462" s="4">
        <f t="shared" si="2"/>
        <v>1500</v>
      </c>
      <c r="J462" s="4">
        <f t="shared" si="3"/>
        <v>15.625</v>
      </c>
    </row>
    <row r="463" ht="15.75" customHeight="1">
      <c r="A463" s="3" t="s">
        <v>141</v>
      </c>
      <c r="B463" s="3" t="s">
        <v>32</v>
      </c>
      <c r="C463" s="3" t="s">
        <v>25</v>
      </c>
      <c r="D463" s="3">
        <v>50.0</v>
      </c>
      <c r="E463" s="3" t="s">
        <v>23</v>
      </c>
      <c r="F463" s="3">
        <v>52.0</v>
      </c>
      <c r="G463" s="3">
        <v>55.0</v>
      </c>
      <c r="H463" s="4">
        <f t="shared" si="1"/>
        <v>2750</v>
      </c>
      <c r="I463" s="4">
        <f t="shared" si="2"/>
        <v>150</v>
      </c>
      <c r="J463" s="4">
        <f t="shared" si="3"/>
        <v>5.454545455</v>
      </c>
    </row>
    <row r="464" ht="15.75" customHeight="1">
      <c r="A464" s="3" t="s">
        <v>142</v>
      </c>
      <c r="B464" s="3" t="s">
        <v>29</v>
      </c>
      <c r="C464" s="3" t="s">
        <v>29</v>
      </c>
      <c r="D464" s="3">
        <v>10.0</v>
      </c>
      <c r="E464" s="3" t="s">
        <v>27</v>
      </c>
      <c r="F464" s="3">
        <v>240.0</v>
      </c>
      <c r="G464" s="3">
        <v>280.0</v>
      </c>
      <c r="H464" s="4">
        <f t="shared" si="1"/>
        <v>2800</v>
      </c>
      <c r="I464" s="4">
        <f t="shared" si="2"/>
        <v>400</v>
      </c>
      <c r="J464" s="4">
        <f t="shared" si="3"/>
        <v>14.28571429</v>
      </c>
    </row>
    <row r="465" ht="15.75" customHeight="1">
      <c r="A465" s="3" t="s">
        <v>142</v>
      </c>
      <c r="B465" s="3" t="s">
        <v>24</v>
      </c>
      <c r="C465" s="3" t="s">
        <v>25</v>
      </c>
      <c r="D465" s="3">
        <v>142.0</v>
      </c>
      <c r="E465" s="3" t="s">
        <v>23</v>
      </c>
      <c r="F465" s="3">
        <v>52.0</v>
      </c>
      <c r="G465" s="3">
        <v>55.0</v>
      </c>
      <c r="H465" s="4">
        <f t="shared" si="1"/>
        <v>7810</v>
      </c>
      <c r="I465" s="4">
        <f t="shared" si="2"/>
        <v>426</v>
      </c>
      <c r="J465" s="4">
        <f t="shared" si="3"/>
        <v>5.454545455</v>
      </c>
    </row>
    <row r="466" ht="15.75" customHeight="1">
      <c r="A466" s="3" t="s">
        <v>142</v>
      </c>
      <c r="B466" s="3" t="s">
        <v>17</v>
      </c>
      <c r="C466" s="3" t="s">
        <v>18</v>
      </c>
      <c r="D466" s="3">
        <v>130.0</v>
      </c>
      <c r="E466" s="3" t="s">
        <v>19</v>
      </c>
      <c r="F466" s="3">
        <v>8.0</v>
      </c>
      <c r="G466" s="3">
        <v>12.0</v>
      </c>
      <c r="H466" s="4">
        <f t="shared" si="1"/>
        <v>1560</v>
      </c>
      <c r="I466" s="4">
        <f t="shared" si="2"/>
        <v>520</v>
      </c>
      <c r="J466" s="4">
        <f t="shared" si="3"/>
        <v>33.33333333</v>
      </c>
    </row>
    <row r="467" ht="15.75" customHeight="1">
      <c r="A467" s="3" t="s">
        <v>143</v>
      </c>
      <c r="B467" s="3" t="s">
        <v>42</v>
      </c>
      <c r="C467" s="3" t="s">
        <v>43</v>
      </c>
      <c r="D467" s="3">
        <v>5.0</v>
      </c>
      <c r="E467" s="3" t="s">
        <v>19</v>
      </c>
      <c r="F467" s="3">
        <v>360.0</v>
      </c>
      <c r="G467" s="3">
        <v>400.0</v>
      </c>
      <c r="H467" s="4">
        <f t="shared" si="1"/>
        <v>2000</v>
      </c>
      <c r="I467" s="4">
        <f t="shared" si="2"/>
        <v>200</v>
      </c>
      <c r="J467" s="4">
        <f t="shared" si="3"/>
        <v>10</v>
      </c>
    </row>
    <row r="468" ht="15.75" customHeight="1">
      <c r="A468" s="3" t="s">
        <v>143</v>
      </c>
      <c r="B468" s="3" t="s">
        <v>20</v>
      </c>
      <c r="C468" s="3" t="s">
        <v>18</v>
      </c>
      <c r="D468" s="3">
        <v>200.0</v>
      </c>
      <c r="E468" s="3" t="s">
        <v>19</v>
      </c>
      <c r="F468" s="3">
        <v>8.0</v>
      </c>
      <c r="G468" s="3">
        <v>9.0</v>
      </c>
      <c r="H468" s="4">
        <f t="shared" si="1"/>
        <v>1800</v>
      </c>
      <c r="I468" s="4">
        <f t="shared" si="2"/>
        <v>200</v>
      </c>
      <c r="J468" s="4">
        <f t="shared" si="3"/>
        <v>11.11111111</v>
      </c>
    </row>
    <row r="469" ht="15.75" customHeight="1">
      <c r="A469" s="3" t="s">
        <v>143</v>
      </c>
      <c r="B469" s="3" t="s">
        <v>24</v>
      </c>
      <c r="C469" s="3" t="s">
        <v>25</v>
      </c>
      <c r="D469" s="3">
        <v>143.0</v>
      </c>
      <c r="E469" s="3" t="s">
        <v>23</v>
      </c>
      <c r="F469" s="3">
        <v>52.0</v>
      </c>
      <c r="G469" s="3">
        <v>55.0</v>
      </c>
      <c r="H469" s="4">
        <f t="shared" si="1"/>
        <v>7865</v>
      </c>
      <c r="I469" s="4">
        <f t="shared" si="2"/>
        <v>429</v>
      </c>
      <c r="J469" s="4">
        <f t="shared" si="3"/>
        <v>5.454545455</v>
      </c>
    </row>
    <row r="470" ht="15.75" customHeight="1">
      <c r="A470" s="3" t="s">
        <v>143</v>
      </c>
      <c r="B470" s="3" t="s">
        <v>17</v>
      </c>
      <c r="C470" s="3" t="s">
        <v>18</v>
      </c>
      <c r="D470" s="3">
        <v>50.0</v>
      </c>
      <c r="E470" s="3" t="s">
        <v>19</v>
      </c>
      <c r="F470" s="3">
        <v>8.0</v>
      </c>
      <c r="G470" s="3">
        <v>12.0</v>
      </c>
      <c r="H470" s="4">
        <f t="shared" si="1"/>
        <v>600</v>
      </c>
      <c r="I470" s="4">
        <f t="shared" si="2"/>
        <v>200</v>
      </c>
      <c r="J470" s="4">
        <f t="shared" si="3"/>
        <v>33.33333333</v>
      </c>
    </row>
    <row r="471" ht="15.75" customHeight="1">
      <c r="A471" s="3" t="s">
        <v>143</v>
      </c>
      <c r="B471" s="3" t="s">
        <v>29</v>
      </c>
      <c r="C471" s="3" t="s">
        <v>29</v>
      </c>
      <c r="D471" s="3">
        <v>3.0</v>
      </c>
      <c r="E471" s="3" t="s">
        <v>27</v>
      </c>
      <c r="F471" s="3">
        <v>240.0</v>
      </c>
      <c r="G471" s="3">
        <v>280.0</v>
      </c>
      <c r="H471" s="4">
        <f t="shared" si="1"/>
        <v>840</v>
      </c>
      <c r="I471" s="4">
        <f t="shared" si="2"/>
        <v>120</v>
      </c>
      <c r="J471" s="4">
        <f t="shared" si="3"/>
        <v>14.28571429</v>
      </c>
    </row>
    <row r="472" ht="15.75" customHeight="1">
      <c r="A472" s="3" t="s">
        <v>143</v>
      </c>
      <c r="B472" s="3" t="s">
        <v>11</v>
      </c>
      <c r="C472" s="3" t="s">
        <v>12</v>
      </c>
      <c r="D472" s="3">
        <v>10.0</v>
      </c>
      <c r="E472" s="3" t="s">
        <v>13</v>
      </c>
      <c r="F472" s="3">
        <v>270.0</v>
      </c>
      <c r="G472" s="3">
        <v>320.0</v>
      </c>
      <c r="H472" s="4">
        <f t="shared" si="1"/>
        <v>3200</v>
      </c>
      <c r="I472" s="4">
        <f t="shared" si="2"/>
        <v>500</v>
      </c>
      <c r="J472" s="4">
        <f t="shared" si="3"/>
        <v>15.625</v>
      </c>
    </row>
    <row r="473" ht="15.75" customHeight="1">
      <c r="A473" s="3" t="s">
        <v>144</v>
      </c>
      <c r="B473" s="3" t="s">
        <v>11</v>
      </c>
      <c r="C473" s="3" t="s">
        <v>12</v>
      </c>
      <c r="D473" s="3">
        <v>4.0</v>
      </c>
      <c r="E473" s="3" t="s">
        <v>13</v>
      </c>
      <c r="F473" s="3">
        <v>270.0</v>
      </c>
      <c r="G473" s="3">
        <v>320.0</v>
      </c>
      <c r="H473" s="4">
        <f t="shared" si="1"/>
        <v>1280</v>
      </c>
      <c r="I473" s="4">
        <f t="shared" si="2"/>
        <v>200</v>
      </c>
      <c r="J473" s="4">
        <f t="shared" si="3"/>
        <v>15.625</v>
      </c>
    </row>
    <row r="474" ht="15.75" customHeight="1">
      <c r="A474" s="3" t="s">
        <v>144</v>
      </c>
      <c r="B474" s="3" t="s">
        <v>17</v>
      </c>
      <c r="C474" s="3" t="s">
        <v>18</v>
      </c>
      <c r="D474" s="3">
        <v>150.0</v>
      </c>
      <c r="E474" s="3" t="s">
        <v>19</v>
      </c>
      <c r="F474" s="3">
        <v>8.0</v>
      </c>
      <c r="G474" s="3">
        <v>12.0</v>
      </c>
      <c r="H474" s="4">
        <f t="shared" si="1"/>
        <v>1800</v>
      </c>
      <c r="I474" s="4">
        <f t="shared" si="2"/>
        <v>600</v>
      </c>
      <c r="J474" s="4">
        <f t="shared" si="3"/>
        <v>33.33333333</v>
      </c>
    </row>
    <row r="475" ht="15.75" customHeight="1">
      <c r="A475" s="3" t="s">
        <v>144</v>
      </c>
      <c r="B475" s="3" t="s">
        <v>26</v>
      </c>
      <c r="C475" s="3" t="s">
        <v>26</v>
      </c>
      <c r="D475" s="3">
        <v>5.0</v>
      </c>
      <c r="E475" s="3" t="s">
        <v>27</v>
      </c>
      <c r="F475" s="3">
        <v>180.0</v>
      </c>
      <c r="G475" s="3">
        <v>220.0</v>
      </c>
      <c r="H475" s="4">
        <f t="shared" si="1"/>
        <v>1100</v>
      </c>
      <c r="I475" s="4">
        <f t="shared" si="2"/>
        <v>200</v>
      </c>
      <c r="J475" s="4">
        <f t="shared" si="3"/>
        <v>18.18181818</v>
      </c>
    </row>
    <row r="476" ht="15.75" customHeight="1">
      <c r="A476" s="3" t="s">
        <v>144</v>
      </c>
      <c r="B476" s="3" t="s">
        <v>29</v>
      </c>
      <c r="C476" s="3" t="s">
        <v>29</v>
      </c>
      <c r="D476" s="3">
        <v>20.0</v>
      </c>
      <c r="E476" s="3" t="s">
        <v>27</v>
      </c>
      <c r="F476" s="3">
        <v>240.0</v>
      </c>
      <c r="G476" s="3">
        <v>280.0</v>
      </c>
      <c r="H476" s="4">
        <f t="shared" si="1"/>
        <v>5600</v>
      </c>
      <c r="I476" s="4">
        <f t="shared" si="2"/>
        <v>800</v>
      </c>
      <c r="J476" s="4">
        <f t="shared" si="3"/>
        <v>14.28571429</v>
      </c>
    </row>
    <row r="477" ht="15.75" customHeight="1">
      <c r="A477" s="3" t="s">
        <v>144</v>
      </c>
      <c r="B477" s="3" t="s">
        <v>24</v>
      </c>
      <c r="C477" s="3" t="s">
        <v>25</v>
      </c>
      <c r="D477" s="3">
        <v>71.0</v>
      </c>
      <c r="E477" s="3" t="s">
        <v>23</v>
      </c>
      <c r="F477" s="3">
        <v>52.0</v>
      </c>
      <c r="G477" s="3">
        <v>55.0</v>
      </c>
      <c r="H477" s="4">
        <f t="shared" si="1"/>
        <v>3905</v>
      </c>
      <c r="I477" s="4">
        <f t="shared" si="2"/>
        <v>213</v>
      </c>
      <c r="J477" s="4">
        <f t="shared" si="3"/>
        <v>5.454545455</v>
      </c>
    </row>
    <row r="478" ht="15.75" customHeight="1">
      <c r="A478" s="3" t="s">
        <v>145</v>
      </c>
      <c r="B478" s="3" t="s">
        <v>30</v>
      </c>
      <c r="C478" s="3" t="s">
        <v>18</v>
      </c>
      <c r="D478" s="3">
        <v>200.0</v>
      </c>
      <c r="E478" s="3" t="s">
        <v>19</v>
      </c>
      <c r="F478" s="3">
        <v>8.0</v>
      </c>
      <c r="G478" s="3">
        <v>12.0</v>
      </c>
      <c r="H478" s="4">
        <f t="shared" si="1"/>
        <v>2400</v>
      </c>
      <c r="I478" s="4">
        <f t="shared" si="2"/>
        <v>800</v>
      </c>
      <c r="J478" s="4">
        <f t="shared" si="3"/>
        <v>33.33333333</v>
      </c>
    </row>
    <row r="479" ht="15.75" customHeight="1">
      <c r="A479" s="3" t="s">
        <v>145</v>
      </c>
      <c r="B479" s="3" t="s">
        <v>20</v>
      </c>
      <c r="C479" s="3" t="s">
        <v>18</v>
      </c>
      <c r="D479" s="3">
        <v>150.0</v>
      </c>
      <c r="E479" s="3" t="s">
        <v>19</v>
      </c>
      <c r="F479" s="3">
        <v>8.0</v>
      </c>
      <c r="G479" s="3">
        <v>9.0</v>
      </c>
      <c r="H479" s="4">
        <f t="shared" si="1"/>
        <v>1350</v>
      </c>
      <c r="I479" s="4">
        <f t="shared" si="2"/>
        <v>150</v>
      </c>
      <c r="J479" s="4">
        <f t="shared" si="3"/>
        <v>11.11111111</v>
      </c>
    </row>
    <row r="480" ht="15.75" customHeight="1">
      <c r="A480" s="3" t="s">
        <v>145</v>
      </c>
      <c r="B480" s="3" t="s">
        <v>11</v>
      </c>
      <c r="C480" s="3" t="s">
        <v>12</v>
      </c>
      <c r="D480" s="3">
        <v>25.0</v>
      </c>
      <c r="E480" s="3" t="s">
        <v>13</v>
      </c>
      <c r="F480" s="3">
        <v>270.0</v>
      </c>
      <c r="G480" s="3">
        <v>320.0</v>
      </c>
      <c r="H480" s="4">
        <f t="shared" si="1"/>
        <v>8000</v>
      </c>
      <c r="I480" s="4">
        <f t="shared" si="2"/>
        <v>1250</v>
      </c>
      <c r="J480" s="4">
        <f t="shared" si="3"/>
        <v>15.625</v>
      </c>
    </row>
    <row r="481" ht="15.75" customHeight="1">
      <c r="A481" s="3" t="s">
        <v>145</v>
      </c>
      <c r="B481" s="3" t="s">
        <v>14</v>
      </c>
      <c r="C481" s="3" t="s">
        <v>12</v>
      </c>
      <c r="D481" s="3">
        <v>60.0</v>
      </c>
      <c r="E481" s="3" t="s">
        <v>13</v>
      </c>
      <c r="F481" s="3">
        <v>300.0</v>
      </c>
      <c r="G481" s="3">
        <v>360.0</v>
      </c>
      <c r="H481" s="4">
        <f t="shared" si="1"/>
        <v>21600</v>
      </c>
      <c r="I481" s="4">
        <f t="shared" si="2"/>
        <v>3600</v>
      </c>
      <c r="J481" s="4">
        <f t="shared" si="3"/>
        <v>16.66666667</v>
      </c>
    </row>
    <row r="482" ht="15.75" customHeight="1">
      <c r="A482" s="3" t="s">
        <v>146</v>
      </c>
      <c r="B482" s="3" t="s">
        <v>17</v>
      </c>
      <c r="C482" s="3" t="s">
        <v>18</v>
      </c>
      <c r="D482" s="3">
        <v>250.0</v>
      </c>
      <c r="E482" s="3" t="s">
        <v>19</v>
      </c>
      <c r="F482" s="3">
        <v>8.0</v>
      </c>
      <c r="G482" s="3">
        <v>12.0</v>
      </c>
      <c r="H482" s="4">
        <f t="shared" si="1"/>
        <v>3000</v>
      </c>
      <c r="I482" s="4">
        <f t="shared" si="2"/>
        <v>1000</v>
      </c>
      <c r="J482" s="4">
        <f t="shared" si="3"/>
        <v>33.33333333</v>
      </c>
    </row>
    <row r="483" ht="15.75" customHeight="1">
      <c r="A483" s="3" t="s">
        <v>146</v>
      </c>
      <c r="B483" s="3" t="s">
        <v>32</v>
      </c>
      <c r="C483" s="3" t="s">
        <v>25</v>
      </c>
      <c r="D483" s="3">
        <v>50.0</v>
      </c>
      <c r="E483" s="3" t="s">
        <v>23</v>
      </c>
      <c r="F483" s="3">
        <v>52.0</v>
      </c>
      <c r="G483" s="3">
        <v>55.0</v>
      </c>
      <c r="H483" s="4">
        <f t="shared" si="1"/>
        <v>2750</v>
      </c>
      <c r="I483" s="4">
        <f t="shared" si="2"/>
        <v>150</v>
      </c>
      <c r="J483" s="4">
        <f t="shared" si="3"/>
        <v>5.454545455</v>
      </c>
    </row>
    <row r="484" ht="15.75" customHeight="1">
      <c r="A484" s="3" t="s">
        <v>146</v>
      </c>
      <c r="B484" s="3" t="s">
        <v>29</v>
      </c>
      <c r="C484" s="3" t="s">
        <v>29</v>
      </c>
      <c r="D484" s="3">
        <v>10.0</v>
      </c>
      <c r="E484" s="3" t="s">
        <v>27</v>
      </c>
      <c r="F484" s="3">
        <v>240.0</v>
      </c>
      <c r="G484" s="3">
        <v>280.0</v>
      </c>
      <c r="H484" s="4">
        <f t="shared" si="1"/>
        <v>2800</v>
      </c>
      <c r="I484" s="4">
        <f t="shared" si="2"/>
        <v>400</v>
      </c>
      <c r="J484" s="4">
        <f t="shared" si="3"/>
        <v>14.28571429</v>
      </c>
    </row>
    <row r="485" ht="15.75" customHeight="1">
      <c r="A485" s="3" t="s">
        <v>147</v>
      </c>
      <c r="B485" s="3" t="s">
        <v>32</v>
      </c>
      <c r="C485" s="3" t="s">
        <v>25</v>
      </c>
      <c r="D485" s="3">
        <v>153.0</v>
      </c>
      <c r="E485" s="3" t="s">
        <v>23</v>
      </c>
      <c r="F485" s="3">
        <v>52.0</v>
      </c>
      <c r="G485" s="3">
        <v>55.0</v>
      </c>
      <c r="H485" s="4">
        <f t="shared" si="1"/>
        <v>8415</v>
      </c>
      <c r="I485" s="4">
        <f t="shared" si="2"/>
        <v>459</v>
      </c>
      <c r="J485" s="4">
        <f t="shared" si="3"/>
        <v>5.454545455</v>
      </c>
    </row>
    <row r="486" ht="15.75" customHeight="1">
      <c r="A486" s="3" t="s">
        <v>147</v>
      </c>
      <c r="B486" s="3" t="s">
        <v>20</v>
      </c>
      <c r="C486" s="3" t="s">
        <v>18</v>
      </c>
      <c r="D486" s="3">
        <v>15.0</v>
      </c>
      <c r="E486" s="3" t="s">
        <v>19</v>
      </c>
      <c r="F486" s="3">
        <v>8.0</v>
      </c>
      <c r="G486" s="3">
        <v>9.0</v>
      </c>
      <c r="H486" s="4">
        <f t="shared" si="1"/>
        <v>135</v>
      </c>
      <c r="I486" s="4">
        <f t="shared" si="2"/>
        <v>15</v>
      </c>
      <c r="J486" s="4">
        <f t="shared" si="3"/>
        <v>11.11111111</v>
      </c>
    </row>
    <row r="487" ht="15.75" customHeight="1">
      <c r="A487" s="3" t="s">
        <v>147</v>
      </c>
      <c r="B487" s="3" t="s">
        <v>11</v>
      </c>
      <c r="C487" s="3" t="s">
        <v>12</v>
      </c>
      <c r="D487" s="3">
        <v>10.0</v>
      </c>
      <c r="E487" s="3" t="s">
        <v>13</v>
      </c>
      <c r="F487" s="3">
        <v>270.0</v>
      </c>
      <c r="G487" s="3">
        <v>320.0</v>
      </c>
      <c r="H487" s="4">
        <f t="shared" si="1"/>
        <v>3200</v>
      </c>
      <c r="I487" s="4">
        <f t="shared" si="2"/>
        <v>500</v>
      </c>
      <c r="J487" s="4">
        <f t="shared" si="3"/>
        <v>15.625</v>
      </c>
    </row>
    <row r="488" ht="15.75" customHeight="1">
      <c r="A488" s="3" t="s">
        <v>147</v>
      </c>
      <c r="B488" s="3" t="s">
        <v>24</v>
      </c>
      <c r="C488" s="3" t="s">
        <v>25</v>
      </c>
      <c r="D488" s="3">
        <v>143.0</v>
      </c>
      <c r="E488" s="3" t="s">
        <v>23</v>
      </c>
      <c r="F488" s="3">
        <v>52.0</v>
      </c>
      <c r="G488" s="3">
        <v>55.0</v>
      </c>
      <c r="H488" s="4">
        <f t="shared" si="1"/>
        <v>7865</v>
      </c>
      <c r="I488" s="4">
        <f t="shared" si="2"/>
        <v>429</v>
      </c>
      <c r="J488" s="4">
        <f t="shared" si="3"/>
        <v>5.454545455</v>
      </c>
    </row>
    <row r="489" ht="15.75" customHeight="1">
      <c r="A489" s="3" t="s">
        <v>147</v>
      </c>
      <c r="B489" s="3" t="s">
        <v>29</v>
      </c>
      <c r="C489" s="3" t="s">
        <v>29</v>
      </c>
      <c r="D489" s="3">
        <v>6.0</v>
      </c>
      <c r="E489" s="3" t="s">
        <v>27</v>
      </c>
      <c r="F489" s="3">
        <v>240.0</v>
      </c>
      <c r="G489" s="3">
        <v>280.0</v>
      </c>
      <c r="H489" s="4">
        <f t="shared" si="1"/>
        <v>1680</v>
      </c>
      <c r="I489" s="4">
        <f t="shared" si="2"/>
        <v>240</v>
      </c>
      <c r="J489" s="4">
        <f t="shared" si="3"/>
        <v>14.28571429</v>
      </c>
    </row>
    <row r="490" ht="15.75" customHeight="1">
      <c r="A490" s="3" t="s">
        <v>148</v>
      </c>
      <c r="B490" s="3" t="s">
        <v>32</v>
      </c>
      <c r="C490" s="3" t="s">
        <v>25</v>
      </c>
      <c r="D490" s="3">
        <v>51.0</v>
      </c>
      <c r="E490" s="3" t="s">
        <v>23</v>
      </c>
      <c r="F490" s="3">
        <v>52.0</v>
      </c>
      <c r="G490" s="3">
        <v>55.0</v>
      </c>
      <c r="H490" s="4">
        <f t="shared" si="1"/>
        <v>2805</v>
      </c>
      <c r="I490" s="4">
        <f t="shared" si="2"/>
        <v>153</v>
      </c>
      <c r="J490" s="4">
        <f t="shared" si="3"/>
        <v>5.454545455</v>
      </c>
    </row>
    <row r="491" ht="15.75" customHeight="1">
      <c r="A491" s="3" t="s">
        <v>148</v>
      </c>
      <c r="B491" s="3" t="s">
        <v>11</v>
      </c>
      <c r="C491" s="3" t="s">
        <v>12</v>
      </c>
      <c r="D491" s="3">
        <v>2.0</v>
      </c>
      <c r="E491" s="3" t="s">
        <v>13</v>
      </c>
      <c r="F491" s="3">
        <v>270.0</v>
      </c>
      <c r="G491" s="3">
        <v>340.0</v>
      </c>
      <c r="H491" s="4">
        <f t="shared" si="1"/>
        <v>680</v>
      </c>
      <c r="I491" s="4">
        <f t="shared" si="2"/>
        <v>140</v>
      </c>
      <c r="J491" s="4">
        <f t="shared" si="3"/>
        <v>20.58823529</v>
      </c>
    </row>
    <row r="492" ht="15.75" customHeight="1">
      <c r="A492" s="3" t="s">
        <v>148</v>
      </c>
      <c r="B492" s="3" t="s">
        <v>15</v>
      </c>
      <c r="C492" s="3" t="s">
        <v>12</v>
      </c>
      <c r="D492" s="3">
        <v>30.0</v>
      </c>
      <c r="E492" s="3" t="s">
        <v>13</v>
      </c>
      <c r="F492" s="3">
        <v>270.0</v>
      </c>
      <c r="G492" s="3">
        <v>320.0</v>
      </c>
      <c r="H492" s="4">
        <f t="shared" si="1"/>
        <v>9600</v>
      </c>
      <c r="I492" s="4">
        <f t="shared" si="2"/>
        <v>1500</v>
      </c>
      <c r="J492" s="4">
        <f t="shared" si="3"/>
        <v>15.625</v>
      </c>
    </row>
    <row r="493" ht="15.75" customHeight="1">
      <c r="A493" s="3" t="s">
        <v>149</v>
      </c>
      <c r="B493" s="3" t="s">
        <v>14</v>
      </c>
      <c r="C493" s="3" t="s">
        <v>12</v>
      </c>
      <c r="D493" s="3">
        <v>4.0</v>
      </c>
      <c r="E493" s="3" t="s">
        <v>13</v>
      </c>
      <c r="F493" s="3">
        <v>300.0</v>
      </c>
      <c r="G493" s="3">
        <v>360.0</v>
      </c>
      <c r="H493" s="4">
        <f t="shared" si="1"/>
        <v>1440</v>
      </c>
      <c r="I493" s="4">
        <f t="shared" si="2"/>
        <v>240</v>
      </c>
      <c r="J493" s="4">
        <f t="shared" si="3"/>
        <v>16.66666667</v>
      </c>
    </row>
    <row r="494" ht="15.75" customHeight="1">
      <c r="A494" s="3" t="s">
        <v>149</v>
      </c>
      <c r="B494" s="3" t="s">
        <v>29</v>
      </c>
      <c r="C494" s="3" t="s">
        <v>29</v>
      </c>
      <c r="D494" s="3">
        <v>12.0</v>
      </c>
      <c r="E494" s="3" t="s">
        <v>27</v>
      </c>
      <c r="F494" s="3">
        <v>240.0</v>
      </c>
      <c r="G494" s="3">
        <v>280.0</v>
      </c>
      <c r="H494" s="4">
        <f t="shared" si="1"/>
        <v>3360</v>
      </c>
      <c r="I494" s="4">
        <f t="shared" si="2"/>
        <v>480</v>
      </c>
      <c r="J494" s="4">
        <f t="shared" si="3"/>
        <v>14.28571429</v>
      </c>
    </row>
    <row r="495" ht="15.75" customHeight="1">
      <c r="A495" s="3" t="s">
        <v>149</v>
      </c>
      <c r="B495" s="3" t="s">
        <v>32</v>
      </c>
      <c r="C495" s="3" t="s">
        <v>25</v>
      </c>
      <c r="D495" s="3">
        <v>102.0</v>
      </c>
      <c r="E495" s="3" t="s">
        <v>23</v>
      </c>
      <c r="F495" s="3">
        <v>52.0</v>
      </c>
      <c r="G495" s="3">
        <v>55.0</v>
      </c>
      <c r="H495" s="4">
        <f t="shared" si="1"/>
        <v>5610</v>
      </c>
      <c r="I495" s="4">
        <f t="shared" si="2"/>
        <v>306</v>
      </c>
      <c r="J495" s="4">
        <f t="shared" si="3"/>
        <v>5.454545455</v>
      </c>
    </row>
    <row r="496" ht="15.75" customHeight="1">
      <c r="A496" s="3" t="s">
        <v>150</v>
      </c>
      <c r="B496" s="3" t="s">
        <v>30</v>
      </c>
      <c r="C496" s="3" t="s">
        <v>18</v>
      </c>
      <c r="D496" s="3">
        <v>200.0</v>
      </c>
      <c r="E496" s="3" t="s">
        <v>19</v>
      </c>
      <c r="F496" s="3">
        <v>8.0</v>
      </c>
      <c r="G496" s="3">
        <v>12.0</v>
      </c>
      <c r="H496" s="4">
        <f t="shared" si="1"/>
        <v>2400</v>
      </c>
      <c r="I496" s="4">
        <f t="shared" si="2"/>
        <v>800</v>
      </c>
      <c r="J496" s="4">
        <f t="shared" si="3"/>
        <v>33.33333333</v>
      </c>
    </row>
    <row r="497" ht="15.75" customHeight="1">
      <c r="A497" s="3" t="s">
        <v>150</v>
      </c>
      <c r="B497" s="3" t="s">
        <v>40</v>
      </c>
      <c r="C497" s="3" t="s">
        <v>12</v>
      </c>
      <c r="D497" s="3">
        <v>3.0</v>
      </c>
      <c r="E497" s="3" t="s">
        <v>13</v>
      </c>
      <c r="F497" s="3">
        <v>360.0</v>
      </c>
      <c r="G497" s="3">
        <v>420.0</v>
      </c>
      <c r="H497" s="4">
        <f t="shared" si="1"/>
        <v>1260</v>
      </c>
      <c r="I497" s="4">
        <f t="shared" si="2"/>
        <v>180</v>
      </c>
      <c r="J497" s="4">
        <f t="shared" si="3"/>
        <v>14.28571429</v>
      </c>
    </row>
    <row r="498" ht="15.75" customHeight="1">
      <c r="A498" s="3" t="s">
        <v>150</v>
      </c>
      <c r="B498" s="3" t="s">
        <v>85</v>
      </c>
      <c r="C498" s="3" t="s">
        <v>25</v>
      </c>
      <c r="D498" s="3">
        <v>46.0</v>
      </c>
      <c r="E498" s="3" t="s">
        <v>23</v>
      </c>
      <c r="F498" s="3">
        <v>55.0</v>
      </c>
      <c r="G498" s="3">
        <v>59.0</v>
      </c>
      <c r="H498" s="4">
        <f t="shared" si="1"/>
        <v>2714</v>
      </c>
      <c r="I498" s="4">
        <f t="shared" si="2"/>
        <v>184</v>
      </c>
      <c r="J498" s="4">
        <f t="shared" si="3"/>
        <v>6.779661017</v>
      </c>
    </row>
    <row r="499" ht="15.75" customHeight="1">
      <c r="A499" s="3" t="s">
        <v>151</v>
      </c>
      <c r="B499" s="3" t="s">
        <v>20</v>
      </c>
      <c r="C499" s="3" t="s">
        <v>18</v>
      </c>
      <c r="D499" s="3">
        <v>40.0</v>
      </c>
      <c r="E499" s="3" t="s">
        <v>19</v>
      </c>
      <c r="F499" s="3">
        <v>8.0</v>
      </c>
      <c r="G499" s="3">
        <v>9.0</v>
      </c>
      <c r="H499" s="4">
        <f t="shared" si="1"/>
        <v>360</v>
      </c>
      <c r="I499" s="4">
        <f t="shared" si="2"/>
        <v>40</v>
      </c>
      <c r="J499" s="4">
        <f t="shared" si="3"/>
        <v>11.11111111</v>
      </c>
    </row>
    <row r="500" ht="15.75" customHeight="1">
      <c r="A500" s="3" t="s">
        <v>151</v>
      </c>
      <c r="B500" s="3" t="s">
        <v>30</v>
      </c>
      <c r="C500" s="3" t="s">
        <v>18</v>
      </c>
      <c r="D500" s="3">
        <v>100.0</v>
      </c>
      <c r="E500" s="3" t="s">
        <v>19</v>
      </c>
      <c r="F500" s="3">
        <v>8.0</v>
      </c>
      <c r="G500" s="3">
        <v>12.0</v>
      </c>
      <c r="H500" s="4">
        <f t="shared" si="1"/>
        <v>1200</v>
      </c>
      <c r="I500" s="4">
        <f t="shared" si="2"/>
        <v>400</v>
      </c>
      <c r="J500" s="4">
        <f t="shared" si="3"/>
        <v>33.33333333</v>
      </c>
    </row>
    <row r="501" ht="15.75" customHeight="1">
      <c r="A501" s="3" t="s">
        <v>151</v>
      </c>
      <c r="B501" s="3" t="s">
        <v>24</v>
      </c>
      <c r="C501" s="3" t="s">
        <v>25</v>
      </c>
      <c r="D501" s="3">
        <v>71.0</v>
      </c>
      <c r="E501" s="3" t="s">
        <v>23</v>
      </c>
      <c r="F501" s="3">
        <v>52.0</v>
      </c>
      <c r="G501" s="3">
        <v>55.0</v>
      </c>
      <c r="H501" s="4">
        <f t="shared" si="1"/>
        <v>3905</v>
      </c>
      <c r="I501" s="4">
        <f t="shared" si="2"/>
        <v>213</v>
      </c>
      <c r="J501" s="4">
        <f t="shared" si="3"/>
        <v>5.454545455</v>
      </c>
    </row>
    <row r="502" ht="15.75" customHeight="1">
      <c r="A502" s="3" t="s">
        <v>151</v>
      </c>
      <c r="B502" s="3" t="s">
        <v>17</v>
      </c>
      <c r="C502" s="3" t="s">
        <v>18</v>
      </c>
      <c r="D502" s="3">
        <v>20.0</v>
      </c>
      <c r="E502" s="3" t="s">
        <v>19</v>
      </c>
      <c r="F502" s="3">
        <v>8.0</v>
      </c>
      <c r="G502" s="3">
        <v>12.0</v>
      </c>
      <c r="H502" s="4">
        <f t="shared" si="1"/>
        <v>240</v>
      </c>
      <c r="I502" s="4">
        <f t="shared" si="2"/>
        <v>80</v>
      </c>
      <c r="J502" s="4">
        <f t="shared" si="3"/>
        <v>33.33333333</v>
      </c>
    </row>
    <row r="503" ht="15.75" customHeight="1">
      <c r="A503" s="3" t="s">
        <v>151</v>
      </c>
      <c r="B503" s="3" t="s">
        <v>15</v>
      </c>
      <c r="C503" s="3" t="s">
        <v>12</v>
      </c>
      <c r="D503" s="3">
        <v>10.0</v>
      </c>
      <c r="E503" s="3" t="s">
        <v>13</v>
      </c>
      <c r="F503" s="3">
        <v>270.0</v>
      </c>
      <c r="G503" s="3">
        <v>320.0</v>
      </c>
      <c r="H503" s="4">
        <f t="shared" si="1"/>
        <v>3200</v>
      </c>
      <c r="I503" s="4">
        <f t="shared" si="2"/>
        <v>500</v>
      </c>
      <c r="J503" s="4">
        <f t="shared" si="3"/>
        <v>15.625</v>
      </c>
    </row>
    <row r="504" ht="15.75" customHeight="1">
      <c r="A504" s="3" t="s">
        <v>152</v>
      </c>
      <c r="B504" s="3" t="s">
        <v>11</v>
      </c>
      <c r="C504" s="3" t="s">
        <v>12</v>
      </c>
      <c r="D504" s="3">
        <v>12.0</v>
      </c>
      <c r="E504" s="3" t="s">
        <v>13</v>
      </c>
      <c r="F504" s="3">
        <v>270.0</v>
      </c>
      <c r="G504" s="3">
        <v>340.0</v>
      </c>
      <c r="H504" s="4">
        <f t="shared" si="1"/>
        <v>4080</v>
      </c>
      <c r="I504" s="4">
        <f t="shared" si="2"/>
        <v>840</v>
      </c>
      <c r="J504" s="4">
        <f t="shared" si="3"/>
        <v>20.58823529</v>
      </c>
    </row>
    <row r="505" ht="15.75" customHeight="1">
      <c r="A505" s="3" t="s">
        <v>152</v>
      </c>
      <c r="B505" s="3" t="s">
        <v>26</v>
      </c>
      <c r="C505" s="3" t="s">
        <v>26</v>
      </c>
      <c r="D505" s="3">
        <v>6.0</v>
      </c>
      <c r="E505" s="3" t="s">
        <v>27</v>
      </c>
      <c r="F505" s="3">
        <v>180.0</v>
      </c>
      <c r="G505" s="3">
        <v>220.0</v>
      </c>
      <c r="H505" s="4">
        <f t="shared" si="1"/>
        <v>1320</v>
      </c>
      <c r="I505" s="4">
        <f t="shared" si="2"/>
        <v>240</v>
      </c>
      <c r="J505" s="4">
        <f t="shared" si="3"/>
        <v>18.18181818</v>
      </c>
    </row>
    <row r="506" ht="15.75" customHeight="1">
      <c r="A506" s="3" t="s">
        <v>152</v>
      </c>
      <c r="B506" s="3" t="s">
        <v>32</v>
      </c>
      <c r="C506" s="3" t="s">
        <v>25</v>
      </c>
      <c r="D506" s="3">
        <v>51.0</v>
      </c>
      <c r="E506" s="3" t="s">
        <v>23</v>
      </c>
      <c r="F506" s="3">
        <v>52.0</v>
      </c>
      <c r="G506" s="3">
        <v>55.0</v>
      </c>
      <c r="H506" s="4">
        <f t="shared" si="1"/>
        <v>2805</v>
      </c>
      <c r="I506" s="4">
        <f t="shared" si="2"/>
        <v>153</v>
      </c>
      <c r="J506" s="4">
        <f t="shared" si="3"/>
        <v>5.454545455</v>
      </c>
    </row>
    <row r="507" ht="15.75" customHeight="1">
      <c r="A507" s="3" t="s">
        <v>152</v>
      </c>
      <c r="B507" s="3" t="s">
        <v>20</v>
      </c>
      <c r="C507" s="3" t="s">
        <v>18</v>
      </c>
      <c r="D507" s="3">
        <v>400.0</v>
      </c>
      <c r="E507" s="3" t="s">
        <v>19</v>
      </c>
      <c r="F507" s="3">
        <v>8.0</v>
      </c>
      <c r="G507" s="3">
        <v>8.0</v>
      </c>
      <c r="H507" s="4">
        <f t="shared" si="1"/>
        <v>3200</v>
      </c>
      <c r="I507" s="4">
        <f t="shared" si="2"/>
        <v>0</v>
      </c>
      <c r="J507" s="4">
        <f t="shared" si="3"/>
        <v>0</v>
      </c>
    </row>
    <row r="508" ht="15.75" customHeight="1">
      <c r="A508" s="3" t="s">
        <v>153</v>
      </c>
      <c r="B508" s="3" t="s">
        <v>15</v>
      </c>
      <c r="C508" s="3" t="s">
        <v>12</v>
      </c>
      <c r="D508" s="3">
        <v>3.0</v>
      </c>
      <c r="E508" s="3" t="s">
        <v>13</v>
      </c>
      <c r="F508" s="3">
        <v>270.0</v>
      </c>
      <c r="G508" s="3">
        <v>320.0</v>
      </c>
      <c r="H508" s="4">
        <f t="shared" si="1"/>
        <v>960</v>
      </c>
      <c r="I508" s="4">
        <f t="shared" si="2"/>
        <v>150</v>
      </c>
      <c r="J508" s="4">
        <f t="shared" si="3"/>
        <v>15.625</v>
      </c>
    </row>
    <row r="509" ht="15.75" customHeight="1">
      <c r="A509" s="3" t="s">
        <v>153</v>
      </c>
      <c r="B509" s="3" t="s">
        <v>24</v>
      </c>
      <c r="C509" s="3" t="s">
        <v>25</v>
      </c>
      <c r="D509" s="3">
        <v>71.0</v>
      </c>
      <c r="E509" s="3" t="s">
        <v>23</v>
      </c>
      <c r="F509" s="3">
        <v>52.0</v>
      </c>
      <c r="G509" s="3">
        <v>55.0</v>
      </c>
      <c r="H509" s="4">
        <f t="shared" si="1"/>
        <v>3905</v>
      </c>
      <c r="I509" s="4">
        <f t="shared" si="2"/>
        <v>213</v>
      </c>
      <c r="J509" s="4">
        <f t="shared" si="3"/>
        <v>5.454545455</v>
      </c>
    </row>
    <row r="510" ht="15.75" customHeight="1">
      <c r="A510" s="3" t="s">
        <v>153</v>
      </c>
      <c r="B510" s="3" t="s">
        <v>11</v>
      </c>
      <c r="C510" s="3" t="s">
        <v>12</v>
      </c>
      <c r="D510" s="3">
        <v>1.0</v>
      </c>
      <c r="E510" s="3" t="s">
        <v>13</v>
      </c>
      <c r="F510" s="3">
        <v>270.0</v>
      </c>
      <c r="G510" s="3">
        <v>340.0</v>
      </c>
      <c r="H510" s="4">
        <f t="shared" si="1"/>
        <v>340</v>
      </c>
      <c r="I510" s="4">
        <f t="shared" si="2"/>
        <v>70</v>
      </c>
      <c r="J510" s="4">
        <f t="shared" si="3"/>
        <v>20.58823529</v>
      </c>
    </row>
    <row r="511" ht="15.75" customHeight="1">
      <c r="A511" s="3" t="s">
        <v>153</v>
      </c>
      <c r="B511" s="3" t="s">
        <v>26</v>
      </c>
      <c r="C511" s="3" t="s">
        <v>26</v>
      </c>
      <c r="D511" s="3">
        <v>20.0</v>
      </c>
      <c r="E511" s="3" t="s">
        <v>27</v>
      </c>
      <c r="F511" s="3">
        <v>180.0</v>
      </c>
      <c r="G511" s="3">
        <v>220.0</v>
      </c>
      <c r="H511" s="4">
        <f t="shared" si="1"/>
        <v>4400</v>
      </c>
      <c r="I511" s="4">
        <f t="shared" si="2"/>
        <v>800</v>
      </c>
      <c r="J511" s="4">
        <f t="shared" si="3"/>
        <v>18.18181818</v>
      </c>
    </row>
    <row r="512" ht="15.75" customHeight="1">
      <c r="A512" s="3" t="s">
        <v>154</v>
      </c>
      <c r="B512" s="3" t="s">
        <v>32</v>
      </c>
      <c r="C512" s="3" t="s">
        <v>25</v>
      </c>
      <c r="D512" s="3">
        <v>51.0</v>
      </c>
      <c r="E512" s="3" t="s">
        <v>23</v>
      </c>
      <c r="F512" s="3">
        <v>52.0</v>
      </c>
      <c r="G512" s="3">
        <v>55.0</v>
      </c>
      <c r="H512" s="4">
        <f t="shared" si="1"/>
        <v>2805</v>
      </c>
      <c r="I512" s="4">
        <f t="shared" si="2"/>
        <v>153</v>
      </c>
      <c r="J512" s="4">
        <f t="shared" si="3"/>
        <v>5.454545455</v>
      </c>
    </row>
    <row r="513" ht="15.75" customHeight="1">
      <c r="A513" s="3" t="s">
        <v>154</v>
      </c>
      <c r="B513" s="3" t="s">
        <v>14</v>
      </c>
      <c r="C513" s="3" t="s">
        <v>12</v>
      </c>
      <c r="D513" s="3">
        <v>16.0</v>
      </c>
      <c r="E513" s="3" t="s">
        <v>13</v>
      </c>
      <c r="F513" s="3">
        <v>300.0</v>
      </c>
      <c r="G513" s="3">
        <v>360.0</v>
      </c>
      <c r="H513" s="4">
        <f t="shared" si="1"/>
        <v>5760</v>
      </c>
      <c r="I513" s="4">
        <f t="shared" si="2"/>
        <v>960</v>
      </c>
      <c r="J513" s="4">
        <f t="shared" si="3"/>
        <v>16.66666667</v>
      </c>
    </row>
    <row r="514" ht="15.75" customHeight="1">
      <c r="A514" s="3" t="s">
        <v>154</v>
      </c>
      <c r="B514" s="3" t="s">
        <v>24</v>
      </c>
      <c r="C514" s="3" t="s">
        <v>25</v>
      </c>
      <c r="D514" s="3">
        <v>143.0</v>
      </c>
      <c r="E514" s="3" t="s">
        <v>23</v>
      </c>
      <c r="F514" s="3">
        <v>52.0</v>
      </c>
      <c r="G514" s="3">
        <v>55.0</v>
      </c>
      <c r="H514" s="4">
        <f t="shared" si="1"/>
        <v>7865</v>
      </c>
      <c r="I514" s="4">
        <f t="shared" si="2"/>
        <v>429</v>
      </c>
      <c r="J514" s="4">
        <f t="shared" si="3"/>
        <v>5.454545455</v>
      </c>
    </row>
    <row r="515" ht="15.75" customHeight="1">
      <c r="A515" s="3" t="s">
        <v>155</v>
      </c>
      <c r="B515" s="3" t="s">
        <v>24</v>
      </c>
      <c r="C515" s="3" t="s">
        <v>25</v>
      </c>
      <c r="D515" s="3">
        <v>71.0</v>
      </c>
      <c r="E515" s="3" t="s">
        <v>23</v>
      </c>
      <c r="F515" s="3">
        <v>52.0</v>
      </c>
      <c r="G515" s="3">
        <v>55.0</v>
      </c>
      <c r="H515" s="4">
        <f t="shared" si="1"/>
        <v>3905</v>
      </c>
      <c r="I515" s="4">
        <f t="shared" si="2"/>
        <v>213</v>
      </c>
      <c r="J515" s="4">
        <f t="shared" si="3"/>
        <v>5.454545455</v>
      </c>
    </row>
    <row r="516" ht="15.75" customHeight="1">
      <c r="A516" s="3" t="s">
        <v>155</v>
      </c>
      <c r="B516" s="3" t="s">
        <v>20</v>
      </c>
      <c r="C516" s="3" t="s">
        <v>18</v>
      </c>
      <c r="D516" s="3">
        <v>150.0</v>
      </c>
      <c r="E516" s="3" t="s">
        <v>19</v>
      </c>
      <c r="F516" s="3">
        <v>8.0</v>
      </c>
      <c r="G516" s="3">
        <v>9.0</v>
      </c>
      <c r="H516" s="4">
        <f t="shared" si="1"/>
        <v>1350</v>
      </c>
      <c r="I516" s="4">
        <f t="shared" si="2"/>
        <v>150</v>
      </c>
      <c r="J516" s="4">
        <f t="shared" si="3"/>
        <v>11.11111111</v>
      </c>
    </row>
    <row r="517" ht="15.75" customHeight="1">
      <c r="A517" s="3" t="s">
        <v>155</v>
      </c>
      <c r="B517" s="3" t="s">
        <v>30</v>
      </c>
      <c r="C517" s="3" t="s">
        <v>18</v>
      </c>
      <c r="D517" s="3">
        <v>200.0</v>
      </c>
      <c r="E517" s="3" t="s">
        <v>19</v>
      </c>
      <c r="F517" s="3">
        <v>8.0</v>
      </c>
      <c r="G517" s="3">
        <v>12.0</v>
      </c>
      <c r="H517" s="4">
        <f t="shared" si="1"/>
        <v>2400</v>
      </c>
      <c r="I517" s="4">
        <f t="shared" si="2"/>
        <v>800</v>
      </c>
      <c r="J517" s="4">
        <f t="shared" si="3"/>
        <v>33.33333333</v>
      </c>
    </row>
    <row r="518" ht="15.75" customHeight="1">
      <c r="A518" s="3" t="s">
        <v>155</v>
      </c>
      <c r="B518" s="3" t="s">
        <v>29</v>
      </c>
      <c r="C518" s="3" t="s">
        <v>29</v>
      </c>
      <c r="D518" s="3">
        <v>10.0</v>
      </c>
      <c r="E518" s="3" t="s">
        <v>27</v>
      </c>
      <c r="F518" s="3">
        <v>240.0</v>
      </c>
      <c r="G518" s="3">
        <v>280.0</v>
      </c>
      <c r="H518" s="4">
        <f t="shared" si="1"/>
        <v>2800</v>
      </c>
      <c r="I518" s="4">
        <f t="shared" si="2"/>
        <v>400</v>
      </c>
      <c r="J518" s="4">
        <f t="shared" si="3"/>
        <v>14.28571429</v>
      </c>
    </row>
    <row r="519" ht="15.75" customHeight="1">
      <c r="A519" s="3" t="s">
        <v>155</v>
      </c>
      <c r="B519" s="3" t="s">
        <v>32</v>
      </c>
      <c r="C519" s="3" t="s">
        <v>25</v>
      </c>
      <c r="D519" s="3">
        <v>51.0</v>
      </c>
      <c r="E519" s="3" t="s">
        <v>23</v>
      </c>
      <c r="F519" s="3">
        <v>52.0</v>
      </c>
      <c r="G519" s="3">
        <v>55.0</v>
      </c>
      <c r="H519" s="4">
        <f t="shared" si="1"/>
        <v>2805</v>
      </c>
      <c r="I519" s="4">
        <f t="shared" si="2"/>
        <v>153</v>
      </c>
      <c r="J519" s="4">
        <f t="shared" si="3"/>
        <v>5.454545455</v>
      </c>
    </row>
    <row r="520" ht="15.75" customHeight="1">
      <c r="A520" s="3" t="s">
        <v>155</v>
      </c>
      <c r="B520" s="3" t="s">
        <v>26</v>
      </c>
      <c r="C520" s="3" t="s">
        <v>26</v>
      </c>
      <c r="D520" s="3">
        <v>3.0</v>
      </c>
      <c r="E520" s="3" t="s">
        <v>27</v>
      </c>
      <c r="F520" s="3">
        <v>180.0</v>
      </c>
      <c r="G520" s="3">
        <v>220.0</v>
      </c>
      <c r="H520" s="4">
        <f t="shared" si="1"/>
        <v>660</v>
      </c>
      <c r="I520" s="4">
        <f t="shared" si="2"/>
        <v>120</v>
      </c>
      <c r="J520" s="4">
        <f t="shared" si="3"/>
        <v>18.18181818</v>
      </c>
    </row>
    <row r="521" ht="15.75" customHeight="1">
      <c r="A521" s="3" t="s">
        <v>156</v>
      </c>
      <c r="B521" s="3" t="s">
        <v>14</v>
      </c>
      <c r="C521" s="3" t="s">
        <v>12</v>
      </c>
      <c r="D521" s="3">
        <v>1.0</v>
      </c>
      <c r="E521" s="3" t="s">
        <v>13</v>
      </c>
      <c r="F521" s="3">
        <v>300.0</v>
      </c>
      <c r="G521" s="3">
        <v>360.0</v>
      </c>
      <c r="H521" s="4">
        <f t="shared" si="1"/>
        <v>360</v>
      </c>
      <c r="I521" s="4">
        <f t="shared" si="2"/>
        <v>60</v>
      </c>
      <c r="J521" s="4">
        <f t="shared" si="3"/>
        <v>16.66666667</v>
      </c>
    </row>
    <row r="522" ht="15.75" customHeight="1">
      <c r="A522" s="3" t="s">
        <v>156</v>
      </c>
      <c r="B522" s="3" t="s">
        <v>85</v>
      </c>
      <c r="C522" s="3" t="s">
        <v>25</v>
      </c>
      <c r="D522" s="3">
        <v>46.0</v>
      </c>
      <c r="E522" s="3" t="s">
        <v>23</v>
      </c>
      <c r="F522" s="3">
        <v>55.0</v>
      </c>
      <c r="G522" s="3">
        <v>59.0</v>
      </c>
      <c r="H522" s="4">
        <f t="shared" si="1"/>
        <v>2714</v>
      </c>
      <c r="I522" s="4">
        <f t="shared" si="2"/>
        <v>184</v>
      </c>
      <c r="J522" s="4">
        <f t="shared" si="3"/>
        <v>6.779661017</v>
      </c>
    </row>
    <row r="523" ht="15.75" customHeight="1">
      <c r="A523" s="3" t="s">
        <v>156</v>
      </c>
      <c r="B523" s="3" t="s">
        <v>29</v>
      </c>
      <c r="C523" s="3" t="s">
        <v>29</v>
      </c>
      <c r="D523" s="3">
        <v>10.0</v>
      </c>
      <c r="E523" s="3" t="s">
        <v>27</v>
      </c>
      <c r="F523" s="3">
        <v>240.0</v>
      </c>
      <c r="G523" s="3">
        <v>280.0</v>
      </c>
      <c r="H523" s="4">
        <f t="shared" si="1"/>
        <v>2800</v>
      </c>
      <c r="I523" s="4">
        <f t="shared" si="2"/>
        <v>400</v>
      </c>
      <c r="J523" s="4">
        <f t="shared" si="3"/>
        <v>14.28571429</v>
      </c>
    </row>
    <row r="524" ht="15.75" customHeight="1">
      <c r="A524" s="3" t="s">
        <v>156</v>
      </c>
      <c r="B524" s="3" t="s">
        <v>24</v>
      </c>
      <c r="C524" s="3" t="s">
        <v>25</v>
      </c>
      <c r="D524" s="3">
        <v>71.0</v>
      </c>
      <c r="E524" s="3" t="s">
        <v>23</v>
      </c>
      <c r="F524" s="3">
        <v>52.0</v>
      </c>
      <c r="G524" s="3">
        <v>55.0</v>
      </c>
      <c r="H524" s="4">
        <f t="shared" si="1"/>
        <v>3905</v>
      </c>
      <c r="I524" s="4">
        <f t="shared" si="2"/>
        <v>213</v>
      </c>
      <c r="J524" s="4">
        <f t="shared" si="3"/>
        <v>5.454545455</v>
      </c>
    </row>
    <row r="525" ht="15.75" customHeight="1">
      <c r="A525" s="3" t="s">
        <v>156</v>
      </c>
      <c r="B525" s="3" t="s">
        <v>11</v>
      </c>
      <c r="C525" s="3" t="s">
        <v>12</v>
      </c>
      <c r="D525" s="3">
        <v>18.0</v>
      </c>
      <c r="E525" s="3" t="s">
        <v>13</v>
      </c>
      <c r="F525" s="3">
        <v>270.0</v>
      </c>
      <c r="G525" s="3">
        <v>340.0</v>
      </c>
      <c r="H525" s="4">
        <f t="shared" si="1"/>
        <v>6120</v>
      </c>
      <c r="I525" s="4">
        <f t="shared" si="2"/>
        <v>1260</v>
      </c>
      <c r="J525" s="4">
        <f t="shared" si="3"/>
        <v>20.58823529</v>
      </c>
    </row>
    <row r="526" ht="15.75" customHeight="1">
      <c r="A526" s="3" t="s">
        <v>157</v>
      </c>
      <c r="B526" s="3" t="s">
        <v>32</v>
      </c>
      <c r="C526" s="3" t="s">
        <v>25</v>
      </c>
      <c r="D526" s="3">
        <v>51.0</v>
      </c>
      <c r="E526" s="3" t="s">
        <v>23</v>
      </c>
      <c r="F526" s="3">
        <v>52.0</v>
      </c>
      <c r="G526" s="3">
        <v>55.0</v>
      </c>
      <c r="H526" s="4">
        <f t="shared" si="1"/>
        <v>2805</v>
      </c>
      <c r="I526" s="4">
        <f t="shared" si="2"/>
        <v>153</v>
      </c>
      <c r="J526" s="4">
        <f t="shared" si="3"/>
        <v>5.454545455</v>
      </c>
    </row>
    <row r="527" ht="15.75" customHeight="1">
      <c r="A527" s="3" t="s">
        <v>157</v>
      </c>
      <c r="B527" s="3" t="s">
        <v>24</v>
      </c>
      <c r="C527" s="3" t="s">
        <v>25</v>
      </c>
      <c r="D527" s="3">
        <v>71.0</v>
      </c>
      <c r="E527" s="3" t="s">
        <v>23</v>
      </c>
      <c r="F527" s="3">
        <v>52.0</v>
      </c>
      <c r="G527" s="3">
        <v>55.0</v>
      </c>
      <c r="H527" s="4">
        <f t="shared" si="1"/>
        <v>3905</v>
      </c>
      <c r="I527" s="4">
        <f t="shared" si="2"/>
        <v>213</v>
      </c>
      <c r="J527" s="4">
        <f t="shared" si="3"/>
        <v>5.454545455</v>
      </c>
    </row>
    <row r="528" ht="15.75" customHeight="1">
      <c r="A528" s="3" t="s">
        <v>157</v>
      </c>
      <c r="B528" s="3" t="s">
        <v>17</v>
      </c>
      <c r="C528" s="3" t="s">
        <v>18</v>
      </c>
      <c r="D528" s="3">
        <v>100.0</v>
      </c>
      <c r="E528" s="3" t="s">
        <v>19</v>
      </c>
      <c r="F528" s="3">
        <v>8.0</v>
      </c>
      <c r="G528" s="3">
        <v>12.0</v>
      </c>
      <c r="H528" s="4">
        <f t="shared" si="1"/>
        <v>1200</v>
      </c>
      <c r="I528" s="4">
        <f t="shared" si="2"/>
        <v>400</v>
      </c>
      <c r="J528" s="4">
        <f t="shared" si="3"/>
        <v>33.33333333</v>
      </c>
    </row>
    <row r="529" ht="15.75" customHeight="1">
      <c r="A529" s="3" t="s">
        <v>158</v>
      </c>
      <c r="B529" s="3" t="s">
        <v>17</v>
      </c>
      <c r="C529" s="3" t="s">
        <v>18</v>
      </c>
      <c r="D529" s="3">
        <v>20.0</v>
      </c>
      <c r="E529" s="3" t="s">
        <v>19</v>
      </c>
      <c r="F529" s="3">
        <v>8.0</v>
      </c>
      <c r="G529" s="3">
        <v>12.0</v>
      </c>
      <c r="H529" s="4">
        <f t="shared" si="1"/>
        <v>240</v>
      </c>
      <c r="I529" s="4">
        <f t="shared" si="2"/>
        <v>80</v>
      </c>
      <c r="J529" s="4">
        <f t="shared" si="3"/>
        <v>33.33333333</v>
      </c>
    </row>
    <row r="530" ht="15.75" customHeight="1">
      <c r="A530" s="3" t="s">
        <v>158</v>
      </c>
      <c r="B530" s="3" t="s">
        <v>30</v>
      </c>
      <c r="C530" s="3" t="s">
        <v>18</v>
      </c>
      <c r="D530" s="3">
        <v>10.0</v>
      </c>
      <c r="E530" s="3" t="s">
        <v>19</v>
      </c>
      <c r="F530" s="3">
        <v>8.0</v>
      </c>
      <c r="G530" s="3">
        <v>12.0</v>
      </c>
      <c r="H530" s="4">
        <f t="shared" si="1"/>
        <v>120</v>
      </c>
      <c r="I530" s="4">
        <f t="shared" si="2"/>
        <v>40</v>
      </c>
      <c r="J530" s="4">
        <f t="shared" si="3"/>
        <v>33.33333333</v>
      </c>
    </row>
    <row r="531" ht="15.75" customHeight="1">
      <c r="A531" s="3" t="s">
        <v>158</v>
      </c>
      <c r="B531" s="3" t="s">
        <v>32</v>
      </c>
      <c r="C531" s="3" t="s">
        <v>25</v>
      </c>
      <c r="D531" s="3">
        <v>51.0</v>
      </c>
      <c r="E531" s="3" t="s">
        <v>23</v>
      </c>
      <c r="F531" s="3">
        <v>52.0</v>
      </c>
      <c r="G531" s="3">
        <v>55.0</v>
      </c>
      <c r="H531" s="4">
        <f t="shared" si="1"/>
        <v>2805</v>
      </c>
      <c r="I531" s="4">
        <f t="shared" si="2"/>
        <v>153</v>
      </c>
      <c r="J531" s="4">
        <f t="shared" si="3"/>
        <v>5.454545455</v>
      </c>
    </row>
    <row r="532" ht="15.75" customHeight="1">
      <c r="A532" s="3" t="s">
        <v>158</v>
      </c>
      <c r="B532" s="3" t="s">
        <v>26</v>
      </c>
      <c r="C532" s="3" t="s">
        <v>26</v>
      </c>
      <c r="D532" s="3">
        <v>10.0</v>
      </c>
      <c r="E532" s="3" t="s">
        <v>27</v>
      </c>
      <c r="F532" s="3">
        <v>180.0</v>
      </c>
      <c r="G532" s="3">
        <v>220.0</v>
      </c>
      <c r="H532" s="4">
        <f t="shared" si="1"/>
        <v>2200</v>
      </c>
      <c r="I532" s="4">
        <f t="shared" si="2"/>
        <v>400</v>
      </c>
      <c r="J532" s="4">
        <f t="shared" si="3"/>
        <v>18.18181818</v>
      </c>
    </row>
    <row r="533" ht="15.75" customHeight="1">
      <c r="A533" s="3" t="s">
        <v>158</v>
      </c>
      <c r="B533" s="3" t="s">
        <v>29</v>
      </c>
      <c r="C533" s="3" t="s">
        <v>29</v>
      </c>
      <c r="D533" s="3">
        <v>25.0</v>
      </c>
      <c r="E533" s="3" t="s">
        <v>27</v>
      </c>
      <c r="F533" s="3">
        <v>240.0</v>
      </c>
      <c r="G533" s="3">
        <v>280.0</v>
      </c>
      <c r="H533" s="4">
        <f t="shared" si="1"/>
        <v>7000</v>
      </c>
      <c r="I533" s="4">
        <f t="shared" si="2"/>
        <v>1000</v>
      </c>
      <c r="J533" s="4">
        <f t="shared" si="3"/>
        <v>14.28571429</v>
      </c>
    </row>
    <row r="534" ht="15.75" customHeight="1">
      <c r="A534" s="3" t="s">
        <v>159</v>
      </c>
      <c r="B534" s="3" t="s">
        <v>26</v>
      </c>
      <c r="C534" s="3" t="s">
        <v>26</v>
      </c>
      <c r="D534" s="3">
        <v>10.0</v>
      </c>
      <c r="E534" s="3" t="s">
        <v>27</v>
      </c>
      <c r="F534" s="3">
        <v>180.0</v>
      </c>
      <c r="G534" s="3">
        <v>220.0</v>
      </c>
      <c r="H534" s="4">
        <f t="shared" si="1"/>
        <v>2200</v>
      </c>
      <c r="I534" s="4">
        <f t="shared" si="2"/>
        <v>400</v>
      </c>
      <c r="J534" s="4">
        <f t="shared" si="3"/>
        <v>18.18181818</v>
      </c>
    </row>
    <row r="535" ht="15.75" customHeight="1">
      <c r="A535" s="3" t="s">
        <v>159</v>
      </c>
      <c r="B535" s="3" t="s">
        <v>11</v>
      </c>
      <c r="C535" s="3" t="s">
        <v>12</v>
      </c>
      <c r="D535" s="3">
        <v>80.0</v>
      </c>
      <c r="E535" s="3" t="s">
        <v>13</v>
      </c>
      <c r="F535" s="3">
        <v>270.0</v>
      </c>
      <c r="G535" s="3">
        <v>340.0</v>
      </c>
      <c r="H535" s="4">
        <f t="shared" si="1"/>
        <v>27200</v>
      </c>
      <c r="I535" s="4">
        <f t="shared" si="2"/>
        <v>5600</v>
      </c>
      <c r="J535" s="4">
        <f t="shared" si="3"/>
        <v>20.58823529</v>
      </c>
    </row>
    <row r="536" ht="15.75" customHeight="1">
      <c r="A536" s="3" t="s">
        <v>159</v>
      </c>
      <c r="B536" s="3" t="s">
        <v>32</v>
      </c>
      <c r="C536" s="3" t="s">
        <v>25</v>
      </c>
      <c r="D536" s="3">
        <v>153.0</v>
      </c>
      <c r="E536" s="3" t="s">
        <v>23</v>
      </c>
      <c r="F536" s="3">
        <v>52.0</v>
      </c>
      <c r="G536" s="3">
        <v>55.0</v>
      </c>
      <c r="H536" s="4">
        <f t="shared" si="1"/>
        <v>8415</v>
      </c>
      <c r="I536" s="4">
        <f t="shared" si="2"/>
        <v>459</v>
      </c>
      <c r="J536" s="4">
        <f t="shared" si="3"/>
        <v>5.454545455</v>
      </c>
    </row>
    <row r="537" ht="15.75" customHeight="1">
      <c r="A537" s="3" t="s">
        <v>159</v>
      </c>
      <c r="B537" s="3" t="s">
        <v>29</v>
      </c>
      <c r="C537" s="3" t="s">
        <v>29</v>
      </c>
      <c r="D537" s="3">
        <v>10.0</v>
      </c>
      <c r="E537" s="3" t="s">
        <v>27</v>
      </c>
      <c r="F537" s="3">
        <v>240.0</v>
      </c>
      <c r="G537" s="3">
        <v>280.0</v>
      </c>
      <c r="H537" s="4">
        <f t="shared" si="1"/>
        <v>2800</v>
      </c>
      <c r="I537" s="4">
        <f t="shared" si="2"/>
        <v>400</v>
      </c>
      <c r="J537" s="4">
        <f t="shared" si="3"/>
        <v>14.28571429</v>
      </c>
    </row>
    <row r="538" ht="15.75" customHeight="1">
      <c r="A538" s="3" t="s">
        <v>159</v>
      </c>
      <c r="B538" s="3" t="s">
        <v>14</v>
      </c>
      <c r="C538" s="3" t="s">
        <v>12</v>
      </c>
      <c r="D538" s="3">
        <v>20.0</v>
      </c>
      <c r="E538" s="3" t="s">
        <v>13</v>
      </c>
      <c r="F538" s="3">
        <v>300.0</v>
      </c>
      <c r="G538" s="3">
        <v>360.0</v>
      </c>
      <c r="H538" s="4">
        <f t="shared" si="1"/>
        <v>7200</v>
      </c>
      <c r="I538" s="4">
        <f t="shared" si="2"/>
        <v>1200</v>
      </c>
      <c r="J538" s="4">
        <f t="shared" si="3"/>
        <v>16.66666667</v>
      </c>
    </row>
    <row r="539" ht="15.75" customHeight="1">
      <c r="A539" s="3" t="s">
        <v>160</v>
      </c>
      <c r="B539" s="3" t="s">
        <v>24</v>
      </c>
      <c r="C539" s="3" t="s">
        <v>25</v>
      </c>
      <c r="D539" s="3">
        <v>142.0</v>
      </c>
      <c r="E539" s="3" t="s">
        <v>23</v>
      </c>
      <c r="F539" s="3">
        <v>52.0</v>
      </c>
      <c r="G539" s="3">
        <v>55.0</v>
      </c>
      <c r="H539" s="4">
        <f t="shared" si="1"/>
        <v>7810</v>
      </c>
      <c r="I539" s="4">
        <f t="shared" si="2"/>
        <v>426</v>
      </c>
      <c r="J539" s="4">
        <f t="shared" si="3"/>
        <v>5.454545455</v>
      </c>
    </row>
    <row r="540" ht="15.75" customHeight="1">
      <c r="A540" s="3" t="s">
        <v>160</v>
      </c>
      <c r="B540" s="3" t="s">
        <v>20</v>
      </c>
      <c r="C540" s="3" t="s">
        <v>18</v>
      </c>
      <c r="D540" s="3">
        <v>150.0</v>
      </c>
      <c r="E540" s="3" t="s">
        <v>19</v>
      </c>
      <c r="F540" s="3">
        <v>8.0</v>
      </c>
      <c r="G540" s="3">
        <v>9.0</v>
      </c>
      <c r="H540" s="4">
        <f t="shared" si="1"/>
        <v>1350</v>
      </c>
      <c r="I540" s="4">
        <f t="shared" si="2"/>
        <v>150</v>
      </c>
      <c r="J540" s="4">
        <f t="shared" si="3"/>
        <v>11.11111111</v>
      </c>
    </row>
    <row r="541" ht="15.75" customHeight="1">
      <c r="A541" s="11">
        <v>46003.0</v>
      </c>
      <c r="B541" s="3" t="s">
        <v>42</v>
      </c>
      <c r="C541" s="3" t="s">
        <v>43</v>
      </c>
      <c r="D541" s="3">
        <v>4.0</v>
      </c>
      <c r="E541" s="3" t="s">
        <v>19</v>
      </c>
      <c r="F541" s="3">
        <v>360.0</v>
      </c>
      <c r="G541" s="3">
        <v>400.0</v>
      </c>
      <c r="H541" s="4">
        <f t="shared" si="1"/>
        <v>1600</v>
      </c>
      <c r="I541" s="4">
        <f t="shared" si="2"/>
        <v>160</v>
      </c>
      <c r="J541" s="4">
        <f t="shared" si="3"/>
        <v>10</v>
      </c>
    </row>
    <row r="542" ht="15.75" customHeight="1">
      <c r="A542" s="3" t="s">
        <v>160</v>
      </c>
      <c r="B542" s="3" t="s">
        <v>32</v>
      </c>
      <c r="C542" s="3" t="s">
        <v>25</v>
      </c>
      <c r="D542" s="3">
        <v>51.0</v>
      </c>
      <c r="E542" s="3" t="s">
        <v>23</v>
      </c>
      <c r="F542" s="3">
        <v>52.0</v>
      </c>
      <c r="G542" s="3">
        <v>55.0</v>
      </c>
      <c r="H542" s="4">
        <f t="shared" si="1"/>
        <v>2805</v>
      </c>
      <c r="I542" s="4">
        <f t="shared" si="2"/>
        <v>153</v>
      </c>
      <c r="J542" s="4">
        <f t="shared" si="3"/>
        <v>5.454545455</v>
      </c>
    </row>
    <row r="543" ht="15.75" customHeight="1">
      <c r="A543" s="3" t="s">
        <v>160</v>
      </c>
      <c r="B543" s="3" t="s">
        <v>14</v>
      </c>
      <c r="C543" s="3" t="s">
        <v>12</v>
      </c>
      <c r="D543" s="3">
        <v>45.0</v>
      </c>
      <c r="E543" s="3" t="s">
        <v>13</v>
      </c>
      <c r="F543" s="3">
        <v>300.0</v>
      </c>
      <c r="G543" s="3">
        <v>360.0</v>
      </c>
      <c r="H543" s="4">
        <f t="shared" si="1"/>
        <v>16200</v>
      </c>
      <c r="I543" s="4">
        <f t="shared" si="2"/>
        <v>2700</v>
      </c>
      <c r="J543" s="4">
        <f t="shared" si="3"/>
        <v>16.66666667</v>
      </c>
    </row>
    <row r="544" ht="15.75" customHeight="1">
      <c r="A544" s="3" t="s">
        <v>161</v>
      </c>
      <c r="B544" s="3" t="s">
        <v>26</v>
      </c>
      <c r="C544" s="3" t="s">
        <v>26</v>
      </c>
      <c r="D544" s="3">
        <v>5.0</v>
      </c>
      <c r="E544" s="3" t="s">
        <v>27</v>
      </c>
      <c r="F544" s="3">
        <v>180.0</v>
      </c>
      <c r="G544" s="3">
        <v>220.0</v>
      </c>
      <c r="H544" s="4">
        <f t="shared" si="1"/>
        <v>1100</v>
      </c>
      <c r="I544" s="4">
        <f t="shared" si="2"/>
        <v>200</v>
      </c>
      <c r="J544" s="4">
        <f t="shared" si="3"/>
        <v>18.18181818</v>
      </c>
    </row>
    <row r="545" ht="15.75" customHeight="1">
      <c r="A545" s="3" t="s">
        <v>161</v>
      </c>
      <c r="B545" s="3" t="s">
        <v>32</v>
      </c>
      <c r="C545" s="3" t="s">
        <v>25</v>
      </c>
      <c r="D545" s="3">
        <v>102.0</v>
      </c>
      <c r="E545" s="3" t="s">
        <v>23</v>
      </c>
      <c r="F545" s="3">
        <v>52.0</v>
      </c>
      <c r="G545" s="3">
        <v>55.0</v>
      </c>
      <c r="H545" s="4">
        <f t="shared" si="1"/>
        <v>5610</v>
      </c>
      <c r="I545" s="4">
        <f t="shared" si="2"/>
        <v>306</v>
      </c>
      <c r="J545" s="4">
        <f t="shared" si="3"/>
        <v>5.454545455</v>
      </c>
    </row>
    <row r="546" ht="15.75" customHeight="1">
      <c r="A546" s="3" t="s">
        <v>161</v>
      </c>
      <c r="B546" s="3" t="s">
        <v>20</v>
      </c>
      <c r="C546" s="3" t="s">
        <v>18</v>
      </c>
      <c r="D546" s="3">
        <v>200.0</v>
      </c>
      <c r="E546" s="3" t="s">
        <v>19</v>
      </c>
      <c r="F546" s="3">
        <v>8.0</v>
      </c>
      <c r="G546" s="3">
        <v>9.0</v>
      </c>
      <c r="H546" s="4">
        <f t="shared" si="1"/>
        <v>1800</v>
      </c>
      <c r="I546" s="4">
        <f t="shared" si="2"/>
        <v>200</v>
      </c>
      <c r="J546" s="4">
        <f t="shared" si="3"/>
        <v>11.11111111</v>
      </c>
    </row>
    <row r="547" ht="15.75" customHeight="1">
      <c r="A547" s="3" t="s">
        <v>162</v>
      </c>
      <c r="B547" s="3" t="s">
        <v>14</v>
      </c>
      <c r="C547" s="3" t="s">
        <v>12</v>
      </c>
      <c r="D547" s="3">
        <v>3.0</v>
      </c>
      <c r="E547" s="3" t="s">
        <v>13</v>
      </c>
      <c r="F547" s="3">
        <v>300.0</v>
      </c>
      <c r="G547" s="3">
        <v>360.0</v>
      </c>
      <c r="H547" s="4">
        <f t="shared" si="1"/>
        <v>1080</v>
      </c>
      <c r="I547" s="4">
        <f t="shared" si="2"/>
        <v>180</v>
      </c>
      <c r="J547" s="4">
        <f t="shared" si="3"/>
        <v>16.66666667</v>
      </c>
    </row>
    <row r="548" ht="15.75" customHeight="1">
      <c r="A548" s="3" t="s">
        <v>162</v>
      </c>
      <c r="B548" s="3" t="s">
        <v>11</v>
      </c>
      <c r="C548" s="3" t="s">
        <v>12</v>
      </c>
      <c r="D548" s="3">
        <v>15.0</v>
      </c>
      <c r="E548" s="3" t="s">
        <v>13</v>
      </c>
      <c r="F548" s="3">
        <v>270.0</v>
      </c>
      <c r="G548" s="3">
        <v>340.0</v>
      </c>
      <c r="H548" s="4">
        <f t="shared" si="1"/>
        <v>5100</v>
      </c>
      <c r="I548" s="4">
        <f t="shared" si="2"/>
        <v>1050</v>
      </c>
      <c r="J548" s="4">
        <f t="shared" si="3"/>
        <v>20.58823529</v>
      </c>
    </row>
    <row r="549" ht="15.75" customHeight="1">
      <c r="A549" s="3" t="s">
        <v>162</v>
      </c>
      <c r="B549" s="3" t="s">
        <v>30</v>
      </c>
      <c r="C549" s="3" t="s">
        <v>18</v>
      </c>
      <c r="D549" s="3">
        <v>70.0</v>
      </c>
      <c r="E549" s="3" t="s">
        <v>19</v>
      </c>
      <c r="F549" s="3">
        <v>8.0</v>
      </c>
      <c r="G549" s="3">
        <v>12.0</v>
      </c>
      <c r="H549" s="4">
        <f t="shared" si="1"/>
        <v>840</v>
      </c>
      <c r="I549" s="4">
        <f t="shared" si="2"/>
        <v>280</v>
      </c>
      <c r="J549" s="4">
        <f t="shared" si="3"/>
        <v>33.33333333</v>
      </c>
    </row>
    <row r="550" ht="15.75" customHeight="1">
      <c r="A550" s="3" t="s">
        <v>163</v>
      </c>
      <c r="B550" s="3" t="s">
        <v>26</v>
      </c>
      <c r="C550" s="3" t="s">
        <v>26</v>
      </c>
      <c r="D550" s="3">
        <v>10.0</v>
      </c>
      <c r="E550" s="3" t="s">
        <v>27</v>
      </c>
      <c r="F550" s="3">
        <v>180.0</v>
      </c>
      <c r="G550" s="3">
        <v>220.0</v>
      </c>
      <c r="H550" s="4">
        <f t="shared" si="1"/>
        <v>2200</v>
      </c>
      <c r="I550" s="4">
        <f t="shared" si="2"/>
        <v>400</v>
      </c>
      <c r="J550" s="4">
        <f t="shared" si="3"/>
        <v>18.18181818</v>
      </c>
    </row>
    <row r="551" ht="15.75" customHeight="1">
      <c r="A551" s="3" t="s">
        <v>163</v>
      </c>
      <c r="B551" s="3" t="s">
        <v>32</v>
      </c>
      <c r="C551" s="3" t="s">
        <v>25</v>
      </c>
      <c r="D551" s="3">
        <v>51.0</v>
      </c>
      <c r="E551" s="3" t="s">
        <v>23</v>
      </c>
      <c r="F551" s="3">
        <v>52.0</v>
      </c>
      <c r="G551" s="3">
        <v>55.0</v>
      </c>
      <c r="H551" s="4">
        <f t="shared" si="1"/>
        <v>2805</v>
      </c>
      <c r="I551" s="4">
        <f t="shared" si="2"/>
        <v>153</v>
      </c>
      <c r="J551" s="4">
        <f t="shared" si="3"/>
        <v>5.454545455</v>
      </c>
    </row>
    <row r="552" ht="15.75" customHeight="1">
      <c r="A552" s="3" t="s">
        <v>163</v>
      </c>
      <c r="B552" s="3" t="s">
        <v>20</v>
      </c>
      <c r="C552" s="3" t="s">
        <v>18</v>
      </c>
      <c r="D552" s="3">
        <v>200.0</v>
      </c>
      <c r="E552" s="3" t="s">
        <v>19</v>
      </c>
      <c r="F552" s="3">
        <v>8.0</v>
      </c>
      <c r="G552" s="3">
        <v>9.0</v>
      </c>
      <c r="H552" s="4">
        <f t="shared" si="1"/>
        <v>1800</v>
      </c>
      <c r="I552" s="4">
        <f t="shared" si="2"/>
        <v>200</v>
      </c>
      <c r="J552" s="4">
        <f t="shared" si="3"/>
        <v>11.11111111</v>
      </c>
    </row>
    <row r="553" ht="15.75" customHeight="1">
      <c r="A553" s="3" t="s">
        <v>164</v>
      </c>
      <c r="B553" s="3" t="s">
        <v>29</v>
      </c>
      <c r="C553" s="3" t="s">
        <v>29</v>
      </c>
      <c r="D553" s="3">
        <v>5.0</v>
      </c>
      <c r="E553" s="3" t="s">
        <v>27</v>
      </c>
      <c r="F553" s="3">
        <v>240.0</v>
      </c>
      <c r="G553" s="3">
        <v>280.0</v>
      </c>
      <c r="H553" s="4">
        <f t="shared" si="1"/>
        <v>1400</v>
      </c>
      <c r="I553" s="4">
        <f t="shared" si="2"/>
        <v>200</v>
      </c>
      <c r="J553" s="4">
        <f t="shared" si="3"/>
        <v>14.28571429</v>
      </c>
    </row>
    <row r="554" ht="15.75" customHeight="1">
      <c r="A554" s="3" t="s">
        <v>164</v>
      </c>
      <c r="B554" s="3" t="s">
        <v>20</v>
      </c>
      <c r="C554" s="3" t="s">
        <v>18</v>
      </c>
      <c r="D554" s="3">
        <v>50.0</v>
      </c>
      <c r="E554" s="3" t="s">
        <v>19</v>
      </c>
      <c r="F554" s="3">
        <v>8.0</v>
      </c>
      <c r="G554" s="3">
        <v>9.0</v>
      </c>
      <c r="H554" s="4">
        <f t="shared" si="1"/>
        <v>450</v>
      </c>
      <c r="I554" s="4">
        <f t="shared" si="2"/>
        <v>50</v>
      </c>
      <c r="J554" s="4">
        <f t="shared" si="3"/>
        <v>11.11111111</v>
      </c>
    </row>
    <row r="555" ht="15.75" customHeight="1">
      <c r="A555" s="3" t="s">
        <v>164</v>
      </c>
      <c r="B555" s="3" t="s">
        <v>30</v>
      </c>
      <c r="C555" s="3" t="s">
        <v>18</v>
      </c>
      <c r="D555" s="3">
        <v>75.0</v>
      </c>
      <c r="E555" s="3" t="s">
        <v>19</v>
      </c>
      <c r="F555" s="3">
        <v>8.0</v>
      </c>
      <c r="G555" s="3">
        <v>12.0</v>
      </c>
      <c r="H555" s="4">
        <f t="shared" si="1"/>
        <v>900</v>
      </c>
      <c r="I555" s="4">
        <f t="shared" si="2"/>
        <v>300</v>
      </c>
      <c r="J555" s="4">
        <f t="shared" si="3"/>
        <v>33.33333333</v>
      </c>
    </row>
    <row r="556" ht="15.75" customHeight="1">
      <c r="A556" s="3" t="s">
        <v>164</v>
      </c>
      <c r="B556" s="3" t="s">
        <v>32</v>
      </c>
      <c r="C556" s="3" t="s">
        <v>25</v>
      </c>
      <c r="D556" s="3">
        <v>102.0</v>
      </c>
      <c r="E556" s="3" t="s">
        <v>23</v>
      </c>
      <c r="F556" s="3">
        <v>52.0</v>
      </c>
      <c r="G556" s="3">
        <v>55.0</v>
      </c>
      <c r="H556" s="4">
        <f t="shared" si="1"/>
        <v>5610</v>
      </c>
      <c r="I556" s="4">
        <f t="shared" si="2"/>
        <v>306</v>
      </c>
      <c r="J556" s="4">
        <f t="shared" si="3"/>
        <v>5.454545455</v>
      </c>
    </row>
    <row r="557" ht="15.75" customHeight="1">
      <c r="A557" s="3" t="s">
        <v>165</v>
      </c>
      <c r="B557" s="3" t="s">
        <v>24</v>
      </c>
      <c r="C557" s="3" t="s">
        <v>25</v>
      </c>
      <c r="D557" s="3">
        <v>71.0</v>
      </c>
      <c r="E557" s="3" t="s">
        <v>23</v>
      </c>
      <c r="F557" s="3">
        <v>52.0</v>
      </c>
      <c r="G557" s="3">
        <v>55.0</v>
      </c>
      <c r="H557" s="4">
        <f t="shared" si="1"/>
        <v>3905</v>
      </c>
      <c r="I557" s="4">
        <f t="shared" si="2"/>
        <v>213</v>
      </c>
      <c r="J557" s="4">
        <f t="shared" si="3"/>
        <v>5.454545455</v>
      </c>
    </row>
    <row r="558" ht="15.75" customHeight="1">
      <c r="A558" s="3" t="s">
        <v>165</v>
      </c>
      <c r="B558" s="3" t="s">
        <v>29</v>
      </c>
      <c r="C558" s="3" t="s">
        <v>29</v>
      </c>
      <c r="D558" s="3">
        <v>10.0</v>
      </c>
      <c r="E558" s="3" t="s">
        <v>27</v>
      </c>
      <c r="F558" s="3">
        <v>240.0</v>
      </c>
      <c r="G558" s="3">
        <v>280.0</v>
      </c>
      <c r="H558" s="4">
        <f t="shared" si="1"/>
        <v>2800</v>
      </c>
      <c r="I558" s="4">
        <f t="shared" si="2"/>
        <v>400</v>
      </c>
      <c r="J558" s="4">
        <f t="shared" si="3"/>
        <v>14.28571429</v>
      </c>
    </row>
    <row r="559" ht="15.75" customHeight="1">
      <c r="A559" s="3" t="s">
        <v>165</v>
      </c>
      <c r="B559" s="3" t="s">
        <v>20</v>
      </c>
      <c r="C559" s="3" t="s">
        <v>18</v>
      </c>
      <c r="D559" s="3">
        <v>50.0</v>
      </c>
      <c r="E559" s="3" t="s">
        <v>19</v>
      </c>
      <c r="F559" s="3">
        <v>8.0</v>
      </c>
      <c r="G559" s="3">
        <v>9.0</v>
      </c>
      <c r="H559" s="4">
        <f t="shared" si="1"/>
        <v>450</v>
      </c>
      <c r="I559" s="4">
        <f t="shared" si="2"/>
        <v>50</v>
      </c>
      <c r="J559" s="4">
        <f t="shared" si="3"/>
        <v>11.11111111</v>
      </c>
    </row>
    <row r="560" ht="15.75" customHeight="1">
      <c r="A560" s="3" t="s">
        <v>165</v>
      </c>
      <c r="B560" s="3" t="s">
        <v>40</v>
      </c>
      <c r="C560" s="3" t="s">
        <v>12</v>
      </c>
      <c r="D560" s="3">
        <v>4.0</v>
      </c>
      <c r="E560" s="3" t="s">
        <v>13</v>
      </c>
      <c r="F560" s="3">
        <v>360.0</v>
      </c>
      <c r="G560" s="3">
        <v>420.0</v>
      </c>
      <c r="H560" s="4">
        <f t="shared" si="1"/>
        <v>1680</v>
      </c>
      <c r="I560" s="4">
        <f t="shared" si="2"/>
        <v>240</v>
      </c>
      <c r="J560" s="4">
        <f t="shared" si="3"/>
        <v>14.28571429</v>
      </c>
    </row>
    <row r="561" ht="15.75" customHeight="1">
      <c r="A561" s="3" t="s">
        <v>165</v>
      </c>
      <c r="B561" s="3" t="s">
        <v>11</v>
      </c>
      <c r="C561" s="3" t="s">
        <v>12</v>
      </c>
      <c r="D561" s="3">
        <v>12.0</v>
      </c>
      <c r="E561" s="3" t="s">
        <v>13</v>
      </c>
      <c r="F561" s="3">
        <v>270.0</v>
      </c>
      <c r="G561" s="3">
        <v>340.0</v>
      </c>
      <c r="H561" s="4">
        <f t="shared" si="1"/>
        <v>4080</v>
      </c>
      <c r="I561" s="4">
        <f t="shared" si="2"/>
        <v>840</v>
      </c>
      <c r="J561" s="4">
        <f t="shared" si="3"/>
        <v>20.58823529</v>
      </c>
    </row>
    <row r="562" ht="15.75" customHeight="1">
      <c r="A562" s="3" t="s">
        <v>166</v>
      </c>
      <c r="B562" s="3" t="s">
        <v>30</v>
      </c>
      <c r="C562" s="3" t="s">
        <v>18</v>
      </c>
      <c r="D562" s="3">
        <v>200.0</v>
      </c>
      <c r="E562" s="3" t="s">
        <v>19</v>
      </c>
      <c r="F562" s="3">
        <v>8.0</v>
      </c>
      <c r="G562" s="3">
        <v>12.0</v>
      </c>
      <c r="H562" s="4">
        <f t="shared" si="1"/>
        <v>2400</v>
      </c>
      <c r="I562" s="4">
        <f t="shared" si="2"/>
        <v>800</v>
      </c>
      <c r="J562" s="4">
        <f t="shared" si="3"/>
        <v>33.33333333</v>
      </c>
    </row>
    <row r="563" ht="15.75" customHeight="1">
      <c r="A563" s="3" t="s">
        <v>166</v>
      </c>
      <c r="B563" s="3" t="s">
        <v>26</v>
      </c>
      <c r="C563" s="3" t="s">
        <v>26</v>
      </c>
      <c r="D563" s="3">
        <v>10.0</v>
      </c>
      <c r="E563" s="3" t="s">
        <v>27</v>
      </c>
      <c r="F563" s="3">
        <v>180.0</v>
      </c>
      <c r="G563" s="3">
        <v>220.0</v>
      </c>
      <c r="H563" s="4">
        <f t="shared" si="1"/>
        <v>2200</v>
      </c>
      <c r="I563" s="4">
        <f t="shared" si="2"/>
        <v>400</v>
      </c>
      <c r="J563" s="4">
        <f t="shared" si="3"/>
        <v>18.18181818</v>
      </c>
    </row>
    <row r="564" ht="15.75" customHeight="1">
      <c r="A564" s="3" t="s">
        <v>166</v>
      </c>
      <c r="B564" s="3" t="s">
        <v>29</v>
      </c>
      <c r="C564" s="3" t="s">
        <v>29</v>
      </c>
      <c r="D564" s="3">
        <v>10.0</v>
      </c>
      <c r="E564" s="3" t="s">
        <v>27</v>
      </c>
      <c r="F564" s="3">
        <v>240.0</v>
      </c>
      <c r="G564" s="3">
        <v>280.0</v>
      </c>
      <c r="H564" s="4">
        <f t="shared" si="1"/>
        <v>2800</v>
      </c>
      <c r="I564" s="4">
        <f t="shared" si="2"/>
        <v>400</v>
      </c>
      <c r="J564" s="4">
        <f t="shared" si="3"/>
        <v>14.28571429</v>
      </c>
    </row>
    <row r="565" ht="15.75" customHeight="1">
      <c r="A565" s="3" t="s">
        <v>166</v>
      </c>
      <c r="B565" s="3" t="s">
        <v>11</v>
      </c>
      <c r="C565" s="3" t="s">
        <v>12</v>
      </c>
      <c r="D565" s="3">
        <v>10.0</v>
      </c>
      <c r="E565" s="3" t="s">
        <v>13</v>
      </c>
      <c r="F565" s="3">
        <v>270.0</v>
      </c>
      <c r="G565" s="3">
        <v>340.0</v>
      </c>
      <c r="H565" s="4">
        <f t="shared" si="1"/>
        <v>3400</v>
      </c>
      <c r="I565" s="4">
        <f t="shared" si="2"/>
        <v>700</v>
      </c>
      <c r="J565" s="4">
        <f t="shared" si="3"/>
        <v>20.58823529</v>
      </c>
    </row>
    <row r="566" ht="15.75" customHeight="1">
      <c r="A566" s="3" t="s">
        <v>166</v>
      </c>
      <c r="B566" s="3" t="s">
        <v>15</v>
      </c>
      <c r="C566" s="3" t="s">
        <v>12</v>
      </c>
      <c r="D566" s="3">
        <v>25.0</v>
      </c>
      <c r="E566" s="3" t="s">
        <v>13</v>
      </c>
      <c r="F566" s="3">
        <v>270.0</v>
      </c>
      <c r="G566" s="3">
        <v>320.0</v>
      </c>
      <c r="H566" s="4">
        <f t="shared" si="1"/>
        <v>8000</v>
      </c>
      <c r="I566" s="4">
        <f t="shared" si="2"/>
        <v>1250</v>
      </c>
      <c r="J566" s="4">
        <f t="shared" si="3"/>
        <v>15.625</v>
      </c>
    </row>
    <row r="567" ht="15.75" customHeight="1">
      <c r="A567" s="3" t="s">
        <v>167</v>
      </c>
      <c r="B567" s="3" t="s">
        <v>40</v>
      </c>
      <c r="C567" s="3" t="s">
        <v>12</v>
      </c>
      <c r="D567" s="3">
        <v>2.0</v>
      </c>
      <c r="E567" s="3" t="s">
        <v>13</v>
      </c>
      <c r="F567" s="3">
        <v>360.0</v>
      </c>
      <c r="G567" s="3">
        <v>420.0</v>
      </c>
      <c r="H567" s="4">
        <f t="shared" si="1"/>
        <v>840</v>
      </c>
      <c r="I567" s="4">
        <f t="shared" si="2"/>
        <v>120</v>
      </c>
      <c r="J567" s="4">
        <f t="shared" si="3"/>
        <v>14.28571429</v>
      </c>
    </row>
    <row r="568" ht="15.75" customHeight="1">
      <c r="A568" s="3" t="s">
        <v>167</v>
      </c>
      <c r="B568" s="3" t="s">
        <v>26</v>
      </c>
      <c r="C568" s="3" t="s">
        <v>26</v>
      </c>
      <c r="D568" s="3">
        <v>8.0</v>
      </c>
      <c r="E568" s="3" t="s">
        <v>27</v>
      </c>
      <c r="F568" s="3">
        <v>180.0</v>
      </c>
      <c r="G568" s="3">
        <v>220.0</v>
      </c>
      <c r="H568" s="4">
        <f t="shared" si="1"/>
        <v>1760</v>
      </c>
      <c r="I568" s="4">
        <f t="shared" si="2"/>
        <v>320</v>
      </c>
      <c r="J568" s="4">
        <f t="shared" si="3"/>
        <v>18.18181818</v>
      </c>
    </row>
    <row r="569" ht="15.75" customHeight="1">
      <c r="A569" s="3" t="s">
        <v>167</v>
      </c>
      <c r="B569" s="3" t="s">
        <v>17</v>
      </c>
      <c r="C569" s="3" t="s">
        <v>18</v>
      </c>
      <c r="D569" s="3">
        <v>120.0</v>
      </c>
      <c r="E569" s="3" t="s">
        <v>19</v>
      </c>
      <c r="F569" s="3">
        <v>8.0</v>
      </c>
      <c r="G569" s="3">
        <v>12.0</v>
      </c>
      <c r="H569" s="4">
        <f t="shared" si="1"/>
        <v>1440</v>
      </c>
      <c r="I569" s="4">
        <f t="shared" si="2"/>
        <v>480</v>
      </c>
      <c r="J569" s="4">
        <f t="shared" si="3"/>
        <v>33.33333333</v>
      </c>
    </row>
    <row r="570" ht="15.75" customHeight="1">
      <c r="A570" s="3" t="s">
        <v>167</v>
      </c>
      <c r="B570" s="3" t="s">
        <v>32</v>
      </c>
      <c r="C570" s="3" t="s">
        <v>25</v>
      </c>
      <c r="D570" s="3">
        <v>51.0</v>
      </c>
      <c r="E570" s="3" t="s">
        <v>23</v>
      </c>
      <c r="F570" s="3">
        <v>52.0</v>
      </c>
      <c r="G570" s="3">
        <v>55.0</v>
      </c>
      <c r="H570" s="4">
        <f t="shared" si="1"/>
        <v>2805</v>
      </c>
      <c r="I570" s="4">
        <f t="shared" si="2"/>
        <v>153</v>
      </c>
      <c r="J570" s="4">
        <f t="shared" si="3"/>
        <v>5.454545455</v>
      </c>
    </row>
    <row r="571" ht="15.75" customHeight="1">
      <c r="A571" s="3" t="s">
        <v>167</v>
      </c>
      <c r="B571" s="3" t="s">
        <v>30</v>
      </c>
      <c r="C571" s="3" t="s">
        <v>18</v>
      </c>
      <c r="D571" s="3">
        <v>200.0</v>
      </c>
      <c r="E571" s="3" t="s">
        <v>19</v>
      </c>
      <c r="F571" s="3">
        <v>8.0</v>
      </c>
      <c r="G571" s="3">
        <v>12.0</v>
      </c>
      <c r="H571" s="4">
        <f t="shared" si="1"/>
        <v>2400</v>
      </c>
      <c r="I571" s="4">
        <f t="shared" si="2"/>
        <v>800</v>
      </c>
      <c r="J571" s="4">
        <f t="shared" si="3"/>
        <v>33.33333333</v>
      </c>
    </row>
    <row r="572" ht="15.75" customHeight="1">
      <c r="A572" s="3" t="s">
        <v>168</v>
      </c>
      <c r="B572" s="3" t="s">
        <v>20</v>
      </c>
      <c r="C572" s="3" t="s">
        <v>18</v>
      </c>
      <c r="D572" s="3">
        <v>50.0</v>
      </c>
      <c r="E572" s="3" t="s">
        <v>19</v>
      </c>
      <c r="F572" s="3">
        <v>8.0</v>
      </c>
      <c r="G572" s="3">
        <v>9.0</v>
      </c>
      <c r="H572" s="4">
        <f t="shared" si="1"/>
        <v>450</v>
      </c>
      <c r="I572" s="4">
        <f t="shared" si="2"/>
        <v>50</v>
      </c>
      <c r="J572" s="4">
        <f t="shared" si="3"/>
        <v>11.11111111</v>
      </c>
    </row>
    <row r="573" ht="15.75" customHeight="1">
      <c r="A573" s="3" t="s">
        <v>168</v>
      </c>
      <c r="B573" s="3" t="s">
        <v>29</v>
      </c>
      <c r="C573" s="3" t="s">
        <v>29</v>
      </c>
      <c r="D573" s="3">
        <v>20.0</v>
      </c>
      <c r="E573" s="3" t="s">
        <v>27</v>
      </c>
      <c r="F573" s="3">
        <v>240.0</v>
      </c>
      <c r="G573" s="3">
        <v>280.0</v>
      </c>
      <c r="H573" s="4">
        <f t="shared" si="1"/>
        <v>5600</v>
      </c>
      <c r="I573" s="4">
        <f t="shared" si="2"/>
        <v>800</v>
      </c>
      <c r="J573" s="4">
        <f t="shared" si="3"/>
        <v>14.28571429</v>
      </c>
    </row>
    <row r="574" ht="15.75" customHeight="1">
      <c r="A574" s="3" t="s">
        <v>168</v>
      </c>
      <c r="B574" s="3" t="s">
        <v>15</v>
      </c>
      <c r="C574" s="3" t="s">
        <v>12</v>
      </c>
      <c r="D574" s="3">
        <v>1.0</v>
      </c>
      <c r="E574" s="3" t="s">
        <v>13</v>
      </c>
      <c r="F574" s="3">
        <v>270.0</v>
      </c>
      <c r="G574" s="3">
        <v>320.0</v>
      </c>
      <c r="H574" s="4">
        <f t="shared" si="1"/>
        <v>320</v>
      </c>
      <c r="I574" s="4">
        <f t="shared" si="2"/>
        <v>50</v>
      </c>
      <c r="J574" s="4">
        <f t="shared" si="3"/>
        <v>15.625</v>
      </c>
    </row>
    <row r="575" ht="15.75" customHeight="1">
      <c r="A575" s="3" t="s">
        <v>168</v>
      </c>
      <c r="B575" s="3" t="s">
        <v>26</v>
      </c>
      <c r="C575" s="3" t="s">
        <v>26</v>
      </c>
      <c r="D575" s="3">
        <v>10.0</v>
      </c>
      <c r="E575" s="3" t="s">
        <v>27</v>
      </c>
      <c r="F575" s="3">
        <v>180.0</v>
      </c>
      <c r="G575" s="3">
        <v>220.0</v>
      </c>
      <c r="H575" s="4">
        <f t="shared" si="1"/>
        <v>2200</v>
      </c>
      <c r="I575" s="4">
        <f t="shared" si="2"/>
        <v>400</v>
      </c>
      <c r="J575" s="4">
        <f t="shared" si="3"/>
        <v>18.18181818</v>
      </c>
    </row>
    <row r="576" ht="15.75" customHeight="1">
      <c r="A576" s="3" t="s">
        <v>169</v>
      </c>
      <c r="B576" s="3" t="s">
        <v>11</v>
      </c>
      <c r="C576" s="3" t="s">
        <v>12</v>
      </c>
      <c r="D576" s="3">
        <v>4.0</v>
      </c>
      <c r="E576" s="3" t="s">
        <v>13</v>
      </c>
      <c r="F576" s="3">
        <v>270.0</v>
      </c>
      <c r="G576" s="3">
        <v>340.0</v>
      </c>
      <c r="H576" s="4">
        <f t="shared" si="1"/>
        <v>1360</v>
      </c>
      <c r="I576" s="4">
        <f t="shared" si="2"/>
        <v>280</v>
      </c>
      <c r="J576" s="4">
        <f t="shared" si="3"/>
        <v>20.58823529</v>
      </c>
    </row>
    <row r="577" ht="15.75" customHeight="1">
      <c r="A577" s="3" t="s">
        <v>169</v>
      </c>
      <c r="B577" s="3" t="s">
        <v>30</v>
      </c>
      <c r="C577" s="3" t="s">
        <v>18</v>
      </c>
      <c r="D577" s="3">
        <v>100.0</v>
      </c>
      <c r="E577" s="3" t="s">
        <v>19</v>
      </c>
      <c r="F577" s="3">
        <v>8.0</v>
      </c>
      <c r="G577" s="3">
        <v>12.0</v>
      </c>
      <c r="H577" s="4">
        <f t="shared" si="1"/>
        <v>1200</v>
      </c>
      <c r="I577" s="4">
        <f t="shared" si="2"/>
        <v>400</v>
      </c>
      <c r="J577" s="4">
        <f t="shared" si="3"/>
        <v>33.33333333</v>
      </c>
    </row>
    <row r="578" ht="15.75" customHeight="1">
      <c r="A578" s="3" t="s">
        <v>169</v>
      </c>
      <c r="B578" s="3" t="s">
        <v>32</v>
      </c>
      <c r="C578" s="3" t="s">
        <v>25</v>
      </c>
      <c r="D578" s="3">
        <v>102.0</v>
      </c>
      <c r="E578" s="3" t="s">
        <v>23</v>
      </c>
      <c r="F578" s="3">
        <v>52.0</v>
      </c>
      <c r="G578" s="3">
        <v>55.0</v>
      </c>
      <c r="H578" s="4">
        <f t="shared" si="1"/>
        <v>5610</v>
      </c>
      <c r="I578" s="4">
        <f t="shared" si="2"/>
        <v>306</v>
      </c>
      <c r="J578" s="4">
        <f t="shared" si="3"/>
        <v>5.454545455</v>
      </c>
    </row>
    <row r="579" ht="15.75" customHeight="1">
      <c r="A579" s="3" t="s">
        <v>169</v>
      </c>
      <c r="B579" s="3" t="s">
        <v>15</v>
      </c>
      <c r="C579" s="3" t="s">
        <v>12</v>
      </c>
      <c r="D579" s="3">
        <v>30.0</v>
      </c>
      <c r="E579" s="3" t="s">
        <v>13</v>
      </c>
      <c r="F579" s="3">
        <v>270.0</v>
      </c>
      <c r="G579" s="3">
        <v>320.0</v>
      </c>
      <c r="H579" s="4">
        <f t="shared" si="1"/>
        <v>9600</v>
      </c>
      <c r="I579" s="4">
        <f t="shared" si="2"/>
        <v>1500</v>
      </c>
      <c r="J579" s="4">
        <f t="shared" si="3"/>
        <v>15.625</v>
      </c>
    </row>
    <row r="580" ht="15.75" customHeight="1">
      <c r="A580" s="3" t="s">
        <v>169</v>
      </c>
      <c r="B580" s="3" t="s">
        <v>14</v>
      </c>
      <c r="C580" s="3" t="s">
        <v>12</v>
      </c>
      <c r="D580" s="3">
        <v>5.0</v>
      </c>
      <c r="E580" s="3" t="s">
        <v>13</v>
      </c>
      <c r="F580" s="3">
        <v>300.0</v>
      </c>
      <c r="G580" s="3">
        <v>360.0</v>
      </c>
      <c r="H580" s="4">
        <f t="shared" si="1"/>
        <v>1800</v>
      </c>
      <c r="I580" s="4">
        <f t="shared" si="2"/>
        <v>300</v>
      </c>
      <c r="J580" s="4">
        <f t="shared" si="3"/>
        <v>16.66666667</v>
      </c>
    </row>
    <row r="581" ht="15.75" customHeight="1">
      <c r="A581" s="3" t="s">
        <v>169</v>
      </c>
      <c r="B581" s="3" t="s">
        <v>29</v>
      </c>
      <c r="C581" s="3" t="s">
        <v>29</v>
      </c>
      <c r="D581" s="3">
        <v>10.0</v>
      </c>
      <c r="E581" s="3" t="s">
        <v>27</v>
      </c>
      <c r="F581" s="3">
        <v>240.0</v>
      </c>
      <c r="G581" s="3">
        <v>280.0</v>
      </c>
      <c r="H581" s="4">
        <f t="shared" si="1"/>
        <v>2800</v>
      </c>
      <c r="I581" s="4">
        <f t="shared" si="2"/>
        <v>400</v>
      </c>
      <c r="J581" s="4">
        <f t="shared" si="3"/>
        <v>14.28571429</v>
      </c>
    </row>
    <row r="582" ht="15.75" customHeight="1">
      <c r="A582" s="3" t="s">
        <v>170</v>
      </c>
      <c r="B582" s="3" t="s">
        <v>15</v>
      </c>
      <c r="C582" s="3" t="s">
        <v>12</v>
      </c>
      <c r="D582" s="3">
        <v>10.0</v>
      </c>
      <c r="E582" s="3" t="s">
        <v>13</v>
      </c>
      <c r="F582" s="3">
        <v>270.0</v>
      </c>
      <c r="G582" s="3">
        <v>320.0</v>
      </c>
      <c r="H582" s="4">
        <f t="shared" si="1"/>
        <v>3200</v>
      </c>
      <c r="I582" s="4">
        <f t="shared" si="2"/>
        <v>500</v>
      </c>
      <c r="J582" s="4">
        <f t="shared" si="3"/>
        <v>15.625</v>
      </c>
    </row>
    <row r="583" ht="15.75" customHeight="1">
      <c r="A583" s="3" t="s">
        <v>170</v>
      </c>
      <c r="B583" s="3" t="s">
        <v>20</v>
      </c>
      <c r="C583" s="3" t="s">
        <v>18</v>
      </c>
      <c r="D583" s="3">
        <v>300.0</v>
      </c>
      <c r="E583" s="3" t="s">
        <v>19</v>
      </c>
      <c r="F583" s="3">
        <v>8.0</v>
      </c>
      <c r="G583" s="3">
        <v>9.0</v>
      </c>
      <c r="H583" s="4">
        <f t="shared" si="1"/>
        <v>2700</v>
      </c>
      <c r="I583" s="4">
        <f t="shared" si="2"/>
        <v>300</v>
      </c>
      <c r="J583" s="4">
        <f t="shared" si="3"/>
        <v>11.11111111</v>
      </c>
    </row>
    <row r="584" ht="15.75" customHeight="1">
      <c r="A584" s="3" t="s">
        <v>170</v>
      </c>
      <c r="B584" s="3" t="s">
        <v>11</v>
      </c>
      <c r="C584" s="3" t="s">
        <v>12</v>
      </c>
      <c r="D584" s="3">
        <v>20.0</v>
      </c>
      <c r="E584" s="3" t="s">
        <v>13</v>
      </c>
      <c r="F584" s="3">
        <v>260.0</v>
      </c>
      <c r="G584" s="3">
        <v>320.0</v>
      </c>
      <c r="H584" s="4">
        <f t="shared" si="1"/>
        <v>6400</v>
      </c>
      <c r="I584" s="4">
        <f t="shared" si="2"/>
        <v>1200</v>
      </c>
      <c r="J584" s="4">
        <f t="shared" si="3"/>
        <v>18.75</v>
      </c>
    </row>
    <row r="585" ht="15.75" customHeight="1">
      <c r="A585" s="3" t="s">
        <v>171</v>
      </c>
      <c r="B585" s="3" t="s">
        <v>26</v>
      </c>
      <c r="C585" s="3" t="s">
        <v>26</v>
      </c>
      <c r="D585" s="3">
        <v>4.0</v>
      </c>
      <c r="E585" s="3" t="s">
        <v>27</v>
      </c>
      <c r="F585" s="3">
        <v>180.0</v>
      </c>
      <c r="G585" s="3">
        <v>220.0</v>
      </c>
      <c r="H585" s="4">
        <f t="shared" si="1"/>
        <v>880</v>
      </c>
      <c r="I585" s="4">
        <f t="shared" si="2"/>
        <v>160</v>
      </c>
      <c r="J585" s="4">
        <f t="shared" si="3"/>
        <v>18.18181818</v>
      </c>
    </row>
    <row r="586" ht="15.75" customHeight="1">
      <c r="A586" s="3" t="s">
        <v>171</v>
      </c>
      <c r="B586" s="3" t="s">
        <v>14</v>
      </c>
      <c r="C586" s="3" t="s">
        <v>12</v>
      </c>
      <c r="D586" s="3">
        <v>12.0</v>
      </c>
      <c r="E586" s="3" t="s">
        <v>13</v>
      </c>
      <c r="F586" s="3">
        <v>300.0</v>
      </c>
      <c r="G586" s="3">
        <v>360.0</v>
      </c>
      <c r="H586" s="4">
        <f t="shared" si="1"/>
        <v>4320</v>
      </c>
      <c r="I586" s="4">
        <f t="shared" si="2"/>
        <v>720</v>
      </c>
      <c r="J586" s="4">
        <f t="shared" si="3"/>
        <v>16.66666667</v>
      </c>
    </row>
    <row r="587" ht="15.75" customHeight="1">
      <c r="A587" s="3" t="s">
        <v>171</v>
      </c>
      <c r="B587" s="3" t="s">
        <v>29</v>
      </c>
      <c r="C587" s="3" t="s">
        <v>29</v>
      </c>
      <c r="D587" s="3">
        <v>20.0</v>
      </c>
      <c r="E587" s="3" t="s">
        <v>27</v>
      </c>
      <c r="F587" s="3">
        <v>240.0</v>
      </c>
      <c r="G587" s="3">
        <v>280.0</v>
      </c>
      <c r="H587" s="4">
        <f t="shared" si="1"/>
        <v>5600</v>
      </c>
      <c r="I587" s="4">
        <f t="shared" si="2"/>
        <v>800</v>
      </c>
      <c r="J587" s="4">
        <f t="shared" si="3"/>
        <v>14.28571429</v>
      </c>
    </row>
    <row r="588" ht="15.75" customHeight="1">
      <c r="A588" s="3" t="s">
        <v>171</v>
      </c>
      <c r="B588" s="3" t="s">
        <v>20</v>
      </c>
      <c r="C588" s="3" t="s">
        <v>18</v>
      </c>
      <c r="D588" s="3">
        <v>20.0</v>
      </c>
      <c r="E588" s="3" t="s">
        <v>19</v>
      </c>
      <c r="F588" s="3">
        <v>8.0</v>
      </c>
      <c r="G588" s="3">
        <v>9.0</v>
      </c>
      <c r="H588" s="4">
        <f t="shared" si="1"/>
        <v>180</v>
      </c>
      <c r="I588" s="4">
        <f t="shared" si="2"/>
        <v>20</v>
      </c>
      <c r="J588" s="4">
        <f t="shared" si="3"/>
        <v>11.11111111</v>
      </c>
    </row>
    <row r="589" ht="15.75" customHeight="1">
      <c r="A589" s="3" t="s">
        <v>172</v>
      </c>
      <c r="B589" s="3" t="s">
        <v>20</v>
      </c>
      <c r="C589" s="3" t="s">
        <v>18</v>
      </c>
      <c r="D589" s="3">
        <v>100.0</v>
      </c>
      <c r="E589" s="3" t="s">
        <v>19</v>
      </c>
      <c r="F589" s="3">
        <v>8.0</v>
      </c>
      <c r="G589" s="3">
        <v>9.0</v>
      </c>
      <c r="H589" s="4">
        <f t="shared" si="1"/>
        <v>900</v>
      </c>
      <c r="I589" s="4">
        <f t="shared" si="2"/>
        <v>100</v>
      </c>
      <c r="J589" s="4">
        <f t="shared" si="3"/>
        <v>11.11111111</v>
      </c>
    </row>
    <row r="590" ht="15.75" customHeight="1">
      <c r="A590" s="3" t="s">
        <v>172</v>
      </c>
      <c r="B590" s="3" t="s">
        <v>32</v>
      </c>
      <c r="C590" s="3" t="s">
        <v>25</v>
      </c>
      <c r="D590" s="3">
        <v>51.0</v>
      </c>
      <c r="E590" s="3" t="s">
        <v>23</v>
      </c>
      <c r="F590" s="3">
        <v>52.0</v>
      </c>
      <c r="G590" s="3">
        <v>55.0</v>
      </c>
      <c r="H590" s="4">
        <f t="shared" si="1"/>
        <v>2805</v>
      </c>
      <c r="I590" s="4">
        <f t="shared" si="2"/>
        <v>153</v>
      </c>
      <c r="J590" s="4">
        <f t="shared" si="3"/>
        <v>5.454545455</v>
      </c>
    </row>
    <row r="591" ht="15.75" customHeight="1">
      <c r="A591" s="3" t="s">
        <v>172</v>
      </c>
      <c r="B591" s="3" t="s">
        <v>29</v>
      </c>
      <c r="C591" s="3" t="s">
        <v>29</v>
      </c>
      <c r="D591" s="3">
        <v>10.0</v>
      </c>
      <c r="E591" s="3" t="s">
        <v>27</v>
      </c>
      <c r="F591" s="3">
        <v>240.0</v>
      </c>
      <c r="G591" s="3">
        <v>280.0</v>
      </c>
      <c r="H591" s="4">
        <f t="shared" si="1"/>
        <v>2800</v>
      </c>
      <c r="I591" s="4">
        <f t="shared" si="2"/>
        <v>400</v>
      </c>
      <c r="J591" s="4">
        <f t="shared" si="3"/>
        <v>14.28571429</v>
      </c>
    </row>
    <row r="592" ht="15.75" customHeight="1">
      <c r="A592" s="3" t="s">
        <v>172</v>
      </c>
      <c r="B592" s="3" t="s">
        <v>15</v>
      </c>
      <c r="C592" s="3" t="s">
        <v>12</v>
      </c>
      <c r="D592" s="3">
        <v>30.0</v>
      </c>
      <c r="E592" s="3" t="s">
        <v>13</v>
      </c>
      <c r="F592" s="3">
        <v>270.0</v>
      </c>
      <c r="G592" s="3">
        <v>320.0</v>
      </c>
      <c r="H592" s="4">
        <f t="shared" si="1"/>
        <v>9600</v>
      </c>
      <c r="I592" s="4">
        <f t="shared" si="2"/>
        <v>1500</v>
      </c>
      <c r="J592" s="4">
        <f t="shared" si="3"/>
        <v>15.625</v>
      </c>
    </row>
    <row r="593" ht="15.75" customHeight="1">
      <c r="A593" s="3" t="s">
        <v>173</v>
      </c>
      <c r="B593" s="3" t="s">
        <v>40</v>
      </c>
      <c r="C593" s="3" t="s">
        <v>12</v>
      </c>
      <c r="D593" s="3">
        <v>4.0</v>
      </c>
      <c r="E593" s="3" t="s">
        <v>13</v>
      </c>
      <c r="F593" s="3">
        <v>360.0</v>
      </c>
      <c r="G593" s="3">
        <v>420.0</v>
      </c>
      <c r="H593" s="4">
        <f t="shared" si="1"/>
        <v>1680</v>
      </c>
      <c r="I593" s="4">
        <f t="shared" si="2"/>
        <v>240</v>
      </c>
      <c r="J593" s="4">
        <f t="shared" si="3"/>
        <v>14.28571429</v>
      </c>
    </row>
    <row r="594" ht="15.75" customHeight="1">
      <c r="A594" s="3" t="s">
        <v>173</v>
      </c>
      <c r="B594" s="3" t="s">
        <v>32</v>
      </c>
      <c r="C594" s="3" t="s">
        <v>25</v>
      </c>
      <c r="D594" s="3">
        <v>51.0</v>
      </c>
      <c r="E594" s="3" t="s">
        <v>23</v>
      </c>
      <c r="F594" s="3">
        <v>52.0</v>
      </c>
      <c r="G594" s="3">
        <v>55.0</v>
      </c>
      <c r="H594" s="4">
        <f t="shared" si="1"/>
        <v>2805</v>
      </c>
      <c r="I594" s="4">
        <f t="shared" si="2"/>
        <v>153</v>
      </c>
      <c r="J594" s="4">
        <f t="shared" si="3"/>
        <v>5.454545455</v>
      </c>
    </row>
    <row r="595" ht="15.75" customHeight="1">
      <c r="A595" s="3" t="s">
        <v>173</v>
      </c>
      <c r="B595" s="3" t="s">
        <v>14</v>
      </c>
      <c r="C595" s="3" t="s">
        <v>12</v>
      </c>
      <c r="D595" s="3">
        <v>15.0</v>
      </c>
      <c r="E595" s="3" t="s">
        <v>13</v>
      </c>
      <c r="F595" s="3">
        <v>300.0</v>
      </c>
      <c r="G595" s="3">
        <v>360.0</v>
      </c>
      <c r="H595" s="4">
        <f t="shared" si="1"/>
        <v>5400</v>
      </c>
      <c r="I595" s="4">
        <f t="shared" si="2"/>
        <v>900</v>
      </c>
      <c r="J595" s="4">
        <f t="shared" si="3"/>
        <v>16.66666667</v>
      </c>
    </row>
    <row r="596" ht="15.75" customHeight="1">
      <c r="A596" s="3" t="s">
        <v>173</v>
      </c>
      <c r="B596" s="3" t="s">
        <v>26</v>
      </c>
      <c r="C596" s="3" t="s">
        <v>26</v>
      </c>
      <c r="D596" s="3">
        <v>3.0</v>
      </c>
      <c r="E596" s="3" t="s">
        <v>27</v>
      </c>
      <c r="F596" s="3">
        <v>180.0</v>
      </c>
      <c r="G596" s="3">
        <v>220.0</v>
      </c>
      <c r="H596" s="4">
        <f t="shared" si="1"/>
        <v>660</v>
      </c>
      <c r="I596" s="4">
        <f t="shared" si="2"/>
        <v>120</v>
      </c>
      <c r="J596" s="4">
        <f t="shared" si="3"/>
        <v>18.18181818</v>
      </c>
    </row>
    <row r="597" ht="15.75" customHeight="1">
      <c r="A597" s="3" t="s">
        <v>173</v>
      </c>
      <c r="B597" s="3" t="s">
        <v>30</v>
      </c>
      <c r="C597" s="3" t="s">
        <v>18</v>
      </c>
      <c r="D597" s="3">
        <v>200.0</v>
      </c>
      <c r="E597" s="3" t="s">
        <v>19</v>
      </c>
      <c r="F597" s="3">
        <v>8.0</v>
      </c>
      <c r="G597" s="3">
        <v>12.0</v>
      </c>
      <c r="H597" s="4">
        <f t="shared" si="1"/>
        <v>2400</v>
      </c>
      <c r="I597" s="4">
        <f t="shared" si="2"/>
        <v>800</v>
      </c>
      <c r="J597" s="4">
        <f t="shared" si="3"/>
        <v>33.33333333</v>
      </c>
    </row>
    <row r="598" ht="15.75" customHeight="1">
      <c r="A598" s="3" t="s">
        <v>173</v>
      </c>
      <c r="B598" s="3" t="s">
        <v>24</v>
      </c>
      <c r="C598" s="3" t="s">
        <v>25</v>
      </c>
      <c r="D598" s="3">
        <v>71.0</v>
      </c>
      <c r="E598" s="3" t="s">
        <v>23</v>
      </c>
      <c r="F598" s="3">
        <v>52.0</v>
      </c>
      <c r="G598" s="3">
        <v>55.0</v>
      </c>
      <c r="H598" s="4">
        <f t="shared" si="1"/>
        <v>3905</v>
      </c>
      <c r="I598" s="4">
        <f t="shared" si="2"/>
        <v>213</v>
      </c>
      <c r="J598" s="4">
        <f t="shared" si="3"/>
        <v>5.454545455</v>
      </c>
    </row>
    <row r="599" ht="15.75" customHeight="1">
      <c r="A599" s="3" t="s">
        <v>173</v>
      </c>
      <c r="B599" s="3" t="s">
        <v>40</v>
      </c>
      <c r="C599" s="3" t="s">
        <v>12</v>
      </c>
      <c r="D599" s="3">
        <v>5.0</v>
      </c>
      <c r="E599" s="3" t="s">
        <v>13</v>
      </c>
      <c r="F599" s="3">
        <v>360.0</v>
      </c>
      <c r="G599" s="3">
        <v>420.0</v>
      </c>
      <c r="H599" s="4">
        <f t="shared" si="1"/>
        <v>2100</v>
      </c>
      <c r="I599" s="4">
        <f t="shared" si="2"/>
        <v>300</v>
      </c>
      <c r="J599" s="4">
        <f t="shared" si="3"/>
        <v>14.28571429</v>
      </c>
    </row>
    <row r="600" ht="15.75" customHeight="1">
      <c r="A600" s="3" t="s">
        <v>174</v>
      </c>
      <c r="B600" s="3" t="s">
        <v>24</v>
      </c>
      <c r="C600" s="3" t="s">
        <v>25</v>
      </c>
      <c r="D600" s="3">
        <v>142.0</v>
      </c>
      <c r="E600" s="3" t="s">
        <v>23</v>
      </c>
      <c r="F600" s="3">
        <v>52.0</v>
      </c>
      <c r="G600" s="3">
        <v>55.0</v>
      </c>
      <c r="H600" s="4">
        <f t="shared" si="1"/>
        <v>7810</v>
      </c>
      <c r="I600" s="4">
        <f t="shared" si="2"/>
        <v>426</v>
      </c>
      <c r="J600" s="4">
        <f t="shared" si="3"/>
        <v>5.454545455</v>
      </c>
    </row>
    <row r="601" ht="15.75" customHeight="1">
      <c r="A601" s="3" t="s">
        <v>174</v>
      </c>
      <c r="B601" s="3" t="s">
        <v>20</v>
      </c>
      <c r="C601" s="3" t="s">
        <v>18</v>
      </c>
      <c r="D601" s="3">
        <v>50.0</v>
      </c>
      <c r="E601" s="3" t="s">
        <v>19</v>
      </c>
      <c r="F601" s="3">
        <v>8.0</v>
      </c>
      <c r="G601" s="3">
        <v>9.0</v>
      </c>
      <c r="H601" s="4">
        <f t="shared" si="1"/>
        <v>450</v>
      </c>
      <c r="I601" s="4">
        <f t="shared" si="2"/>
        <v>50</v>
      </c>
      <c r="J601" s="4">
        <f t="shared" si="3"/>
        <v>11.11111111</v>
      </c>
    </row>
    <row r="602" ht="15.75" customHeight="1">
      <c r="A602" s="3" t="s">
        <v>174</v>
      </c>
      <c r="B602" s="3" t="s">
        <v>32</v>
      </c>
      <c r="C602" s="3" t="s">
        <v>25</v>
      </c>
      <c r="D602" s="3">
        <v>51.0</v>
      </c>
      <c r="E602" s="3" t="s">
        <v>23</v>
      </c>
      <c r="F602" s="3">
        <v>52.0</v>
      </c>
      <c r="G602" s="3">
        <v>55.0</v>
      </c>
      <c r="H602" s="4">
        <f t="shared" si="1"/>
        <v>2805</v>
      </c>
      <c r="I602" s="4">
        <f t="shared" si="2"/>
        <v>153</v>
      </c>
      <c r="J602" s="4">
        <f t="shared" si="3"/>
        <v>5.454545455</v>
      </c>
    </row>
    <row r="603" ht="15.75" customHeight="1">
      <c r="A603" s="3" t="s">
        <v>175</v>
      </c>
      <c r="B603" s="3" t="s">
        <v>42</v>
      </c>
      <c r="C603" s="3" t="s">
        <v>43</v>
      </c>
      <c r="D603" s="3">
        <v>8.0</v>
      </c>
      <c r="E603" s="3" t="s">
        <v>19</v>
      </c>
      <c r="F603" s="3">
        <v>360.0</v>
      </c>
      <c r="G603" s="3">
        <v>400.0</v>
      </c>
      <c r="H603" s="4">
        <f t="shared" si="1"/>
        <v>3200</v>
      </c>
      <c r="I603" s="4">
        <f t="shared" si="2"/>
        <v>320</v>
      </c>
      <c r="J603" s="4">
        <f t="shared" si="3"/>
        <v>10</v>
      </c>
    </row>
    <row r="604" ht="15.75" customHeight="1">
      <c r="A604" s="3" t="s">
        <v>175</v>
      </c>
      <c r="B604" s="3" t="s">
        <v>26</v>
      </c>
      <c r="C604" s="3" t="s">
        <v>26</v>
      </c>
      <c r="D604" s="3">
        <v>10.0</v>
      </c>
      <c r="E604" s="3" t="s">
        <v>27</v>
      </c>
      <c r="F604" s="3">
        <v>180.0</v>
      </c>
      <c r="G604" s="3">
        <v>220.0</v>
      </c>
      <c r="H604" s="4">
        <f t="shared" si="1"/>
        <v>2200</v>
      </c>
      <c r="I604" s="4">
        <f t="shared" si="2"/>
        <v>400</v>
      </c>
      <c r="J604" s="4">
        <f t="shared" si="3"/>
        <v>18.18181818</v>
      </c>
    </row>
    <row r="605" ht="15.75" customHeight="1">
      <c r="A605" s="3" t="s">
        <v>176</v>
      </c>
      <c r="B605" s="3" t="s">
        <v>32</v>
      </c>
      <c r="C605" s="3" t="s">
        <v>25</v>
      </c>
      <c r="D605" s="3">
        <v>153.0</v>
      </c>
      <c r="E605" s="3" t="s">
        <v>23</v>
      </c>
      <c r="F605" s="3">
        <v>52.0</v>
      </c>
      <c r="G605" s="3">
        <v>55.0</v>
      </c>
      <c r="H605" s="4">
        <f t="shared" si="1"/>
        <v>8415</v>
      </c>
      <c r="I605" s="4">
        <f t="shared" si="2"/>
        <v>459</v>
      </c>
      <c r="J605" s="4">
        <f t="shared" si="3"/>
        <v>5.454545455</v>
      </c>
    </row>
    <row r="606" ht="15.75" customHeight="1">
      <c r="A606" s="3" t="s">
        <v>176</v>
      </c>
      <c r="B606" s="3" t="s">
        <v>14</v>
      </c>
      <c r="C606" s="3" t="s">
        <v>12</v>
      </c>
      <c r="D606" s="3">
        <v>10.0</v>
      </c>
      <c r="E606" s="3" t="s">
        <v>13</v>
      </c>
      <c r="F606" s="3">
        <v>300.0</v>
      </c>
      <c r="G606" s="3">
        <v>360.0</v>
      </c>
      <c r="H606" s="4">
        <f t="shared" si="1"/>
        <v>3600</v>
      </c>
      <c r="I606" s="4">
        <f t="shared" si="2"/>
        <v>600</v>
      </c>
      <c r="J606" s="4">
        <f t="shared" si="3"/>
        <v>16.66666667</v>
      </c>
    </row>
    <row r="607" ht="15.75" customHeight="1">
      <c r="A607" s="3" t="s">
        <v>177</v>
      </c>
      <c r="B607" s="3" t="s">
        <v>29</v>
      </c>
      <c r="C607" s="3" t="s">
        <v>29</v>
      </c>
      <c r="D607" s="3">
        <v>12.0</v>
      </c>
      <c r="E607" s="3" t="s">
        <v>27</v>
      </c>
      <c r="F607" s="3">
        <v>240.0</v>
      </c>
      <c r="G607" s="3">
        <v>280.0</v>
      </c>
      <c r="H607" s="4">
        <f t="shared" si="1"/>
        <v>3360</v>
      </c>
      <c r="I607" s="4">
        <f t="shared" si="2"/>
        <v>480</v>
      </c>
      <c r="J607" s="4">
        <f t="shared" si="3"/>
        <v>14.28571429</v>
      </c>
    </row>
    <row r="608" ht="15.75" customHeight="1">
      <c r="A608" s="3" t="s">
        <v>177</v>
      </c>
      <c r="B608" s="3" t="s">
        <v>32</v>
      </c>
      <c r="C608" s="3" t="s">
        <v>25</v>
      </c>
      <c r="D608" s="3">
        <v>102.0</v>
      </c>
      <c r="E608" s="3" t="s">
        <v>23</v>
      </c>
      <c r="F608" s="3">
        <v>52.0</v>
      </c>
      <c r="G608" s="3">
        <v>55.0</v>
      </c>
      <c r="H608" s="4">
        <f t="shared" si="1"/>
        <v>5610</v>
      </c>
      <c r="I608" s="4">
        <f t="shared" si="2"/>
        <v>306</v>
      </c>
      <c r="J608" s="4">
        <f t="shared" si="3"/>
        <v>5.454545455</v>
      </c>
    </row>
    <row r="609" ht="15.75" customHeight="1">
      <c r="A609" s="3" t="s">
        <v>177</v>
      </c>
      <c r="B609" s="3" t="s">
        <v>30</v>
      </c>
      <c r="C609" s="3" t="s">
        <v>18</v>
      </c>
      <c r="D609" s="3">
        <v>200.0</v>
      </c>
      <c r="E609" s="3" t="s">
        <v>19</v>
      </c>
      <c r="F609" s="3">
        <v>8.0</v>
      </c>
      <c r="G609" s="3">
        <v>12.0</v>
      </c>
      <c r="H609" s="4">
        <f t="shared" si="1"/>
        <v>2400</v>
      </c>
      <c r="I609" s="4">
        <f t="shared" si="2"/>
        <v>800</v>
      </c>
      <c r="J609" s="4">
        <f t="shared" si="3"/>
        <v>33.33333333</v>
      </c>
    </row>
    <row r="610" ht="15.75" customHeight="1">
      <c r="A610" s="3" t="s">
        <v>177</v>
      </c>
      <c r="B610" s="3" t="s">
        <v>21</v>
      </c>
      <c r="C610" s="3" t="s">
        <v>22</v>
      </c>
      <c r="D610" s="3">
        <v>5.0</v>
      </c>
      <c r="E610" s="3" t="s">
        <v>23</v>
      </c>
      <c r="F610" s="3">
        <v>70.0</v>
      </c>
      <c r="G610" s="3">
        <v>76.0</v>
      </c>
      <c r="H610" s="4">
        <f t="shared" si="1"/>
        <v>380</v>
      </c>
      <c r="I610" s="4">
        <f t="shared" si="2"/>
        <v>30</v>
      </c>
      <c r="J610" s="4">
        <f t="shared" si="3"/>
        <v>7.894736842</v>
      </c>
    </row>
    <row r="611" ht="15.75" customHeight="1">
      <c r="A611" s="3" t="s">
        <v>178</v>
      </c>
      <c r="B611" s="3" t="s">
        <v>85</v>
      </c>
      <c r="C611" s="3" t="s">
        <v>25</v>
      </c>
      <c r="D611" s="3">
        <v>46.0</v>
      </c>
      <c r="E611" s="3" t="s">
        <v>23</v>
      </c>
      <c r="F611" s="3">
        <v>55.0</v>
      </c>
      <c r="G611" s="3">
        <v>59.0</v>
      </c>
      <c r="H611" s="4">
        <f t="shared" si="1"/>
        <v>2714</v>
      </c>
      <c r="I611" s="4">
        <f t="shared" si="2"/>
        <v>184</v>
      </c>
      <c r="J611" s="4">
        <f t="shared" si="3"/>
        <v>6.779661017</v>
      </c>
    </row>
    <row r="612" ht="15.75" customHeight="1">
      <c r="A612" s="5" t="s">
        <v>178</v>
      </c>
      <c r="B612" s="3" t="s">
        <v>11</v>
      </c>
      <c r="C612" s="3" t="s">
        <v>12</v>
      </c>
      <c r="D612" s="3">
        <v>5.0</v>
      </c>
      <c r="E612" s="3" t="s">
        <v>13</v>
      </c>
      <c r="F612" s="3">
        <v>260.0</v>
      </c>
      <c r="G612" s="3">
        <v>320.0</v>
      </c>
      <c r="H612" s="4">
        <f t="shared" si="1"/>
        <v>1600</v>
      </c>
      <c r="I612" s="4">
        <f t="shared" si="2"/>
        <v>300</v>
      </c>
      <c r="J612" s="4">
        <f t="shared" si="3"/>
        <v>18.75</v>
      </c>
    </row>
    <row r="613" ht="15.75" customHeight="1">
      <c r="A613" s="5" t="s">
        <v>178</v>
      </c>
      <c r="B613" s="3" t="s">
        <v>24</v>
      </c>
      <c r="C613" s="3" t="s">
        <v>25</v>
      </c>
      <c r="D613" s="3">
        <v>71.0</v>
      </c>
      <c r="E613" s="3" t="s">
        <v>23</v>
      </c>
      <c r="F613" s="3">
        <v>52.0</v>
      </c>
      <c r="G613" s="3">
        <v>55.0</v>
      </c>
      <c r="H613" s="4">
        <f t="shared" si="1"/>
        <v>3905</v>
      </c>
      <c r="I613" s="4">
        <f t="shared" si="2"/>
        <v>213</v>
      </c>
      <c r="J613" s="4">
        <f t="shared" si="3"/>
        <v>5.454545455</v>
      </c>
    </row>
    <row r="614" ht="15.75" customHeight="1">
      <c r="A614" s="5" t="s">
        <v>178</v>
      </c>
      <c r="B614" s="3" t="s">
        <v>20</v>
      </c>
      <c r="C614" s="3" t="s">
        <v>18</v>
      </c>
      <c r="D614" s="3">
        <v>200.0</v>
      </c>
      <c r="E614" s="3" t="s">
        <v>19</v>
      </c>
      <c r="F614" s="3">
        <v>8.0</v>
      </c>
      <c r="G614" s="3">
        <v>9.0</v>
      </c>
      <c r="H614" s="4">
        <f t="shared" si="1"/>
        <v>1800</v>
      </c>
      <c r="I614" s="4">
        <f t="shared" si="2"/>
        <v>200</v>
      </c>
      <c r="J614" s="4">
        <f t="shared" si="3"/>
        <v>11.11111111</v>
      </c>
    </row>
    <row r="615" ht="15.75" customHeight="1">
      <c r="A615" s="5" t="s">
        <v>178</v>
      </c>
      <c r="B615" s="3" t="s">
        <v>30</v>
      </c>
      <c r="C615" s="3" t="s">
        <v>18</v>
      </c>
      <c r="D615" s="3">
        <v>100.0</v>
      </c>
      <c r="E615" s="3" t="s">
        <v>19</v>
      </c>
      <c r="F615" s="3">
        <v>8.0</v>
      </c>
      <c r="G615" s="3">
        <v>12.0</v>
      </c>
      <c r="H615" s="4">
        <f t="shared" si="1"/>
        <v>1200</v>
      </c>
      <c r="I615" s="4">
        <f t="shared" si="2"/>
        <v>400</v>
      </c>
      <c r="J615" s="4">
        <f t="shared" si="3"/>
        <v>33.33333333</v>
      </c>
    </row>
    <row r="616" ht="15.75" customHeight="1">
      <c r="A616" s="5" t="s">
        <v>178</v>
      </c>
      <c r="B616" s="3" t="s">
        <v>11</v>
      </c>
      <c r="C616" s="3" t="s">
        <v>12</v>
      </c>
      <c r="D616" s="3">
        <v>8.0</v>
      </c>
      <c r="E616" s="3" t="s">
        <v>13</v>
      </c>
      <c r="F616" s="3">
        <v>260.0</v>
      </c>
      <c r="G616" s="3">
        <v>320.0</v>
      </c>
      <c r="H616" s="4">
        <f t="shared" si="1"/>
        <v>2560</v>
      </c>
      <c r="I616" s="4">
        <f t="shared" si="2"/>
        <v>480</v>
      </c>
      <c r="J616" s="4">
        <f t="shared" si="3"/>
        <v>18.75</v>
      </c>
    </row>
    <row r="617" ht="15.75" customHeight="1">
      <c r="A617" s="5" t="s">
        <v>179</v>
      </c>
      <c r="B617" s="3" t="s">
        <v>26</v>
      </c>
      <c r="C617" s="3" t="s">
        <v>26</v>
      </c>
      <c r="D617" s="3">
        <v>5.0</v>
      </c>
      <c r="E617" s="3" t="s">
        <v>27</v>
      </c>
      <c r="F617" s="3">
        <v>180.0</v>
      </c>
      <c r="G617" s="3">
        <v>220.0</v>
      </c>
      <c r="H617" s="4">
        <f t="shared" si="1"/>
        <v>1100</v>
      </c>
      <c r="I617" s="4">
        <f t="shared" si="2"/>
        <v>200</v>
      </c>
      <c r="J617" s="4">
        <f t="shared" si="3"/>
        <v>18.18181818</v>
      </c>
    </row>
    <row r="618" ht="15.75" customHeight="1">
      <c r="A618" s="5" t="s">
        <v>179</v>
      </c>
      <c r="B618" s="3" t="s">
        <v>29</v>
      </c>
      <c r="C618" s="3" t="s">
        <v>29</v>
      </c>
      <c r="D618" s="3">
        <v>4.0</v>
      </c>
      <c r="E618" s="3" t="s">
        <v>27</v>
      </c>
      <c r="F618" s="3">
        <v>240.0</v>
      </c>
      <c r="G618" s="3">
        <v>280.0</v>
      </c>
      <c r="H618" s="4">
        <f t="shared" si="1"/>
        <v>1120</v>
      </c>
      <c r="I618" s="4">
        <f t="shared" si="2"/>
        <v>160</v>
      </c>
      <c r="J618" s="4">
        <f t="shared" si="3"/>
        <v>14.28571429</v>
      </c>
    </row>
    <row r="619" ht="15.75" customHeight="1">
      <c r="A619" s="5" t="s">
        <v>179</v>
      </c>
      <c r="B619" s="3" t="s">
        <v>40</v>
      </c>
      <c r="C619" s="3" t="s">
        <v>12</v>
      </c>
      <c r="D619" s="3">
        <v>20.0</v>
      </c>
      <c r="E619" s="3" t="s">
        <v>13</v>
      </c>
      <c r="F619" s="3">
        <v>360.0</v>
      </c>
      <c r="G619" s="3">
        <v>420.0</v>
      </c>
      <c r="H619" s="4">
        <f t="shared" si="1"/>
        <v>8400</v>
      </c>
      <c r="I619" s="4">
        <f t="shared" si="2"/>
        <v>1200</v>
      </c>
      <c r="J619" s="4">
        <f t="shared" si="3"/>
        <v>14.28571429</v>
      </c>
    </row>
    <row r="620" ht="15.75" customHeight="1">
      <c r="A620" s="5" t="s">
        <v>179</v>
      </c>
      <c r="B620" s="3" t="s">
        <v>15</v>
      </c>
      <c r="C620" s="3" t="s">
        <v>12</v>
      </c>
      <c r="D620" s="3">
        <v>10.0</v>
      </c>
      <c r="E620" s="3" t="s">
        <v>13</v>
      </c>
      <c r="F620" s="3">
        <v>270.0</v>
      </c>
      <c r="G620" s="3">
        <v>320.0</v>
      </c>
      <c r="H620" s="4">
        <f t="shared" si="1"/>
        <v>3200</v>
      </c>
      <c r="I620" s="4">
        <f t="shared" si="2"/>
        <v>500</v>
      </c>
      <c r="J620" s="4">
        <f t="shared" si="3"/>
        <v>15.625</v>
      </c>
    </row>
    <row r="621" ht="15.75" customHeight="1">
      <c r="A621" s="5" t="s">
        <v>179</v>
      </c>
      <c r="B621" s="3" t="s">
        <v>32</v>
      </c>
      <c r="C621" s="3" t="s">
        <v>25</v>
      </c>
      <c r="D621" s="3">
        <v>102.0</v>
      </c>
      <c r="E621" s="3" t="s">
        <v>23</v>
      </c>
      <c r="F621" s="3">
        <v>52.0</v>
      </c>
      <c r="G621" s="3">
        <v>55.0</v>
      </c>
      <c r="H621" s="4">
        <f t="shared" si="1"/>
        <v>5610</v>
      </c>
      <c r="I621" s="4">
        <f t="shared" si="2"/>
        <v>306</v>
      </c>
      <c r="J621" s="4">
        <f t="shared" si="3"/>
        <v>5.454545455</v>
      </c>
    </row>
    <row r="622" ht="15.75" customHeight="1">
      <c r="A622" s="5" t="s">
        <v>179</v>
      </c>
      <c r="B622" s="3" t="s">
        <v>30</v>
      </c>
      <c r="C622" s="3" t="s">
        <v>18</v>
      </c>
      <c r="D622" s="3">
        <v>75.0</v>
      </c>
      <c r="E622" s="3" t="s">
        <v>19</v>
      </c>
      <c r="F622" s="3">
        <v>8.0</v>
      </c>
      <c r="G622" s="3">
        <v>12.0</v>
      </c>
      <c r="H622" s="4">
        <f t="shared" si="1"/>
        <v>900</v>
      </c>
      <c r="I622" s="4">
        <f t="shared" si="2"/>
        <v>300</v>
      </c>
      <c r="J622" s="4">
        <f t="shared" si="3"/>
        <v>33.33333333</v>
      </c>
    </row>
    <row r="623" ht="15.75" customHeight="1">
      <c r="A623" s="12">
        <v>46023.0</v>
      </c>
      <c r="B623" s="3" t="s">
        <v>15</v>
      </c>
      <c r="C623" s="3" t="s">
        <v>12</v>
      </c>
      <c r="D623" s="3">
        <v>10.0</v>
      </c>
      <c r="E623" s="3" t="s">
        <v>13</v>
      </c>
      <c r="F623" s="3">
        <v>270.0</v>
      </c>
      <c r="G623" s="3">
        <v>320.0</v>
      </c>
      <c r="H623" s="4">
        <f t="shared" si="1"/>
        <v>3200</v>
      </c>
      <c r="I623" s="4">
        <f t="shared" si="2"/>
        <v>500</v>
      </c>
      <c r="J623" s="4">
        <f t="shared" si="3"/>
        <v>15.625</v>
      </c>
    </row>
    <row r="624" ht="15.75" customHeight="1">
      <c r="A624" s="12">
        <v>46023.0</v>
      </c>
      <c r="B624" s="3" t="s">
        <v>30</v>
      </c>
      <c r="C624" s="3" t="s">
        <v>18</v>
      </c>
      <c r="D624" s="3">
        <v>150.0</v>
      </c>
      <c r="E624" s="3" t="s">
        <v>19</v>
      </c>
      <c r="F624" s="3">
        <v>8.0</v>
      </c>
      <c r="G624" s="3">
        <v>12.0</v>
      </c>
      <c r="H624" s="4">
        <f t="shared" si="1"/>
        <v>1800</v>
      </c>
      <c r="I624" s="4">
        <f t="shared" si="2"/>
        <v>600</v>
      </c>
      <c r="J624" s="4">
        <f t="shared" si="3"/>
        <v>33.33333333</v>
      </c>
    </row>
    <row r="625" ht="15.75" customHeight="1">
      <c r="A625" s="12">
        <v>46023.0</v>
      </c>
      <c r="B625" s="3" t="s">
        <v>32</v>
      </c>
      <c r="C625" s="3" t="s">
        <v>25</v>
      </c>
      <c r="D625" s="3">
        <v>561.0</v>
      </c>
      <c r="E625" s="3" t="s">
        <v>23</v>
      </c>
      <c r="F625" s="3">
        <v>52.0</v>
      </c>
      <c r="G625" s="3">
        <v>55.0</v>
      </c>
      <c r="H625" s="4">
        <f t="shared" si="1"/>
        <v>30855</v>
      </c>
      <c r="I625" s="4">
        <f t="shared" si="2"/>
        <v>1683</v>
      </c>
      <c r="J625" s="4">
        <f t="shared" si="3"/>
        <v>5.454545455</v>
      </c>
    </row>
    <row r="626" ht="15.75" customHeight="1">
      <c r="A626" s="12">
        <v>46054.0</v>
      </c>
      <c r="B626" s="3" t="s">
        <v>20</v>
      </c>
      <c r="C626" s="3" t="s">
        <v>18</v>
      </c>
      <c r="D626" s="3">
        <v>400.0</v>
      </c>
      <c r="E626" s="3" t="s">
        <v>19</v>
      </c>
      <c r="F626" s="3">
        <v>8.0</v>
      </c>
      <c r="G626" s="3">
        <v>9.0</v>
      </c>
      <c r="H626" s="4">
        <f t="shared" si="1"/>
        <v>3600</v>
      </c>
      <c r="I626" s="4">
        <f t="shared" si="2"/>
        <v>400</v>
      </c>
      <c r="J626" s="4">
        <f t="shared" si="3"/>
        <v>11.11111111</v>
      </c>
    </row>
    <row r="627" ht="15.75" customHeight="1">
      <c r="A627" s="12">
        <v>46054.0</v>
      </c>
      <c r="B627" s="3" t="s">
        <v>15</v>
      </c>
      <c r="C627" s="3" t="s">
        <v>12</v>
      </c>
      <c r="D627" s="3">
        <v>3.0</v>
      </c>
      <c r="E627" s="3" t="s">
        <v>13</v>
      </c>
      <c r="F627" s="3">
        <v>270.0</v>
      </c>
      <c r="G627" s="3">
        <v>320.0</v>
      </c>
      <c r="H627" s="4">
        <f t="shared" si="1"/>
        <v>960</v>
      </c>
      <c r="I627" s="4">
        <f t="shared" si="2"/>
        <v>150</v>
      </c>
      <c r="J627" s="4">
        <f t="shared" si="3"/>
        <v>15.625</v>
      </c>
    </row>
    <row r="628" ht="15.75" customHeight="1">
      <c r="A628" s="12">
        <v>46054.0</v>
      </c>
      <c r="B628" s="3" t="s">
        <v>29</v>
      </c>
      <c r="C628" s="3" t="s">
        <v>29</v>
      </c>
      <c r="D628" s="3">
        <v>3.0</v>
      </c>
      <c r="E628" s="3" t="s">
        <v>27</v>
      </c>
      <c r="F628" s="3">
        <v>240.0</v>
      </c>
      <c r="G628" s="3">
        <v>280.0</v>
      </c>
      <c r="H628" s="4">
        <f t="shared" si="1"/>
        <v>840</v>
      </c>
      <c r="I628" s="4">
        <f t="shared" si="2"/>
        <v>120</v>
      </c>
      <c r="J628" s="4">
        <f t="shared" si="3"/>
        <v>14.28571429</v>
      </c>
    </row>
    <row r="629" ht="15.75" customHeight="1">
      <c r="A629" s="12">
        <v>46054.0</v>
      </c>
      <c r="B629" s="3" t="s">
        <v>11</v>
      </c>
      <c r="C629" s="3" t="s">
        <v>12</v>
      </c>
      <c r="D629" s="3">
        <v>30.0</v>
      </c>
      <c r="E629" s="3" t="s">
        <v>13</v>
      </c>
      <c r="F629" s="3">
        <v>260.0</v>
      </c>
      <c r="G629" s="3">
        <v>320.0</v>
      </c>
      <c r="H629" s="4">
        <f t="shared" si="1"/>
        <v>9600</v>
      </c>
      <c r="I629" s="4">
        <f t="shared" si="2"/>
        <v>1800</v>
      </c>
      <c r="J629" s="4">
        <f t="shared" si="3"/>
        <v>18.75</v>
      </c>
    </row>
    <row r="630" ht="15.75" customHeight="1">
      <c r="A630" s="12">
        <v>46054.0</v>
      </c>
      <c r="B630" s="3" t="s">
        <v>11</v>
      </c>
      <c r="C630" s="3" t="s">
        <v>12</v>
      </c>
      <c r="D630" s="3">
        <v>65.0</v>
      </c>
      <c r="E630" s="3" t="s">
        <v>13</v>
      </c>
      <c r="F630" s="3">
        <v>260.0</v>
      </c>
      <c r="G630" s="3">
        <v>320.0</v>
      </c>
      <c r="H630" s="4">
        <f t="shared" si="1"/>
        <v>20800</v>
      </c>
      <c r="I630" s="4">
        <f t="shared" si="2"/>
        <v>3900</v>
      </c>
      <c r="J630" s="4">
        <f t="shared" si="3"/>
        <v>18.75</v>
      </c>
    </row>
    <row r="631" ht="15.75" customHeight="1">
      <c r="A631" s="12">
        <v>46082.0</v>
      </c>
      <c r="B631" s="3" t="s">
        <v>17</v>
      </c>
      <c r="C631" s="3" t="s">
        <v>18</v>
      </c>
      <c r="D631" s="3">
        <v>150.0</v>
      </c>
      <c r="E631" s="3" t="s">
        <v>19</v>
      </c>
      <c r="F631" s="3">
        <v>8.0</v>
      </c>
      <c r="G631" s="3">
        <v>12.0</v>
      </c>
      <c r="H631" s="4">
        <f t="shared" si="1"/>
        <v>1800</v>
      </c>
      <c r="I631" s="4">
        <f t="shared" si="2"/>
        <v>600</v>
      </c>
      <c r="J631" s="4">
        <f t="shared" si="3"/>
        <v>33.33333333</v>
      </c>
    </row>
    <row r="632" ht="15.75" customHeight="1">
      <c r="A632" s="12">
        <v>46082.0</v>
      </c>
      <c r="B632" s="3" t="s">
        <v>26</v>
      </c>
      <c r="C632" s="3" t="s">
        <v>26</v>
      </c>
      <c r="D632" s="3">
        <v>7.0</v>
      </c>
      <c r="E632" s="3" t="s">
        <v>27</v>
      </c>
      <c r="F632" s="3">
        <v>180.0</v>
      </c>
      <c r="G632" s="3">
        <v>220.0</v>
      </c>
      <c r="H632" s="4">
        <f t="shared" si="1"/>
        <v>1540</v>
      </c>
      <c r="I632" s="4">
        <f t="shared" si="2"/>
        <v>280</v>
      </c>
      <c r="J632" s="4">
        <f t="shared" si="3"/>
        <v>18.18181818</v>
      </c>
    </row>
    <row r="633" ht="15.75" customHeight="1">
      <c r="A633" s="12">
        <v>46082.0</v>
      </c>
      <c r="B633" s="3" t="s">
        <v>29</v>
      </c>
      <c r="C633" s="3" t="s">
        <v>29</v>
      </c>
      <c r="D633" s="3">
        <v>5.0</v>
      </c>
      <c r="E633" s="3" t="s">
        <v>27</v>
      </c>
      <c r="F633" s="3">
        <v>240.0</v>
      </c>
      <c r="G633" s="3">
        <v>280.0</v>
      </c>
      <c r="H633" s="4">
        <f t="shared" si="1"/>
        <v>1400</v>
      </c>
      <c r="I633" s="4">
        <f t="shared" si="2"/>
        <v>200</v>
      </c>
      <c r="J633" s="4">
        <f t="shared" si="3"/>
        <v>14.28571429</v>
      </c>
    </row>
    <row r="634" ht="15.75" customHeight="1">
      <c r="A634" s="12">
        <v>46113.0</v>
      </c>
      <c r="B634" s="3" t="s">
        <v>24</v>
      </c>
      <c r="C634" s="3" t="s">
        <v>25</v>
      </c>
      <c r="D634" s="3">
        <v>71.0</v>
      </c>
      <c r="E634" s="3" t="s">
        <v>23</v>
      </c>
      <c r="F634" s="3">
        <v>52.0</v>
      </c>
      <c r="G634" s="3">
        <v>55.0</v>
      </c>
      <c r="H634" s="4">
        <f t="shared" si="1"/>
        <v>3905</v>
      </c>
      <c r="I634" s="4">
        <f t="shared" si="2"/>
        <v>213</v>
      </c>
      <c r="J634" s="4">
        <f t="shared" si="3"/>
        <v>5.454545455</v>
      </c>
    </row>
    <row r="635" ht="15.75" customHeight="1">
      <c r="A635" s="12">
        <v>46113.0</v>
      </c>
      <c r="B635" s="3" t="s">
        <v>30</v>
      </c>
      <c r="C635" s="3" t="s">
        <v>18</v>
      </c>
      <c r="D635" s="3">
        <v>200.0</v>
      </c>
      <c r="E635" s="3" t="s">
        <v>19</v>
      </c>
      <c r="F635" s="3">
        <v>8.0</v>
      </c>
      <c r="G635" s="3">
        <v>12.0</v>
      </c>
      <c r="H635" s="4">
        <f t="shared" si="1"/>
        <v>2400</v>
      </c>
      <c r="I635" s="4">
        <f t="shared" si="2"/>
        <v>800</v>
      </c>
      <c r="J635" s="4">
        <f t="shared" si="3"/>
        <v>33.33333333</v>
      </c>
    </row>
    <row r="636" ht="15.75" customHeight="1">
      <c r="A636" s="12">
        <v>46113.0</v>
      </c>
      <c r="B636" s="3" t="s">
        <v>20</v>
      </c>
      <c r="C636" s="3" t="s">
        <v>18</v>
      </c>
      <c r="D636" s="3">
        <v>150.0</v>
      </c>
      <c r="E636" s="3" t="s">
        <v>19</v>
      </c>
      <c r="F636" s="3">
        <v>8.0</v>
      </c>
      <c r="G636" s="3">
        <v>9.0</v>
      </c>
      <c r="H636" s="4">
        <f t="shared" si="1"/>
        <v>1350</v>
      </c>
      <c r="I636" s="4">
        <f t="shared" si="2"/>
        <v>150</v>
      </c>
      <c r="J636" s="4">
        <f t="shared" si="3"/>
        <v>11.11111111</v>
      </c>
    </row>
    <row r="637" ht="15.75" customHeight="1">
      <c r="A637" s="12">
        <v>46143.0</v>
      </c>
      <c r="B637" s="3" t="s">
        <v>14</v>
      </c>
      <c r="C637" s="3" t="s">
        <v>12</v>
      </c>
      <c r="D637" s="3">
        <v>4.0</v>
      </c>
      <c r="E637" s="3" t="s">
        <v>13</v>
      </c>
      <c r="F637" s="3">
        <v>300.0</v>
      </c>
      <c r="G637" s="3">
        <v>365.0</v>
      </c>
      <c r="H637" s="4">
        <f t="shared" si="1"/>
        <v>1460</v>
      </c>
      <c r="I637" s="4">
        <f t="shared" si="2"/>
        <v>260</v>
      </c>
      <c r="J637" s="4">
        <f t="shared" si="3"/>
        <v>17.80821918</v>
      </c>
    </row>
    <row r="638" ht="15.75" customHeight="1">
      <c r="A638" s="12">
        <v>46143.0</v>
      </c>
      <c r="B638" s="3" t="s">
        <v>15</v>
      </c>
      <c r="C638" s="3" t="s">
        <v>12</v>
      </c>
      <c r="D638" s="3">
        <v>4.0</v>
      </c>
      <c r="E638" s="3" t="s">
        <v>13</v>
      </c>
      <c r="F638" s="3">
        <v>270.0</v>
      </c>
      <c r="G638" s="3">
        <v>320.0</v>
      </c>
      <c r="H638" s="4">
        <f t="shared" si="1"/>
        <v>1280</v>
      </c>
      <c r="I638" s="4">
        <f t="shared" si="2"/>
        <v>200</v>
      </c>
      <c r="J638" s="4">
        <f t="shared" si="3"/>
        <v>15.625</v>
      </c>
    </row>
    <row r="639" ht="15.75" customHeight="1">
      <c r="A639" s="12">
        <v>46143.0</v>
      </c>
      <c r="B639" s="3" t="s">
        <v>32</v>
      </c>
      <c r="C639" s="3" t="s">
        <v>25</v>
      </c>
      <c r="D639" s="3">
        <v>255.0</v>
      </c>
      <c r="E639" s="3" t="s">
        <v>23</v>
      </c>
      <c r="F639" s="3">
        <v>52.0</v>
      </c>
      <c r="G639" s="3">
        <v>55.0</v>
      </c>
      <c r="H639" s="4">
        <f t="shared" si="1"/>
        <v>14025</v>
      </c>
      <c r="I639" s="4">
        <f t="shared" si="2"/>
        <v>765</v>
      </c>
      <c r="J639" s="4">
        <f t="shared" si="3"/>
        <v>5.454545455</v>
      </c>
    </row>
    <row r="640" ht="15.75" customHeight="1">
      <c r="A640" s="12">
        <v>46174.0</v>
      </c>
      <c r="B640" s="3" t="s">
        <v>26</v>
      </c>
      <c r="C640" s="3" t="s">
        <v>26</v>
      </c>
      <c r="D640" s="3">
        <v>5.0</v>
      </c>
      <c r="E640" s="3" t="s">
        <v>27</v>
      </c>
      <c r="F640" s="3">
        <v>180.0</v>
      </c>
      <c r="G640" s="3">
        <v>220.0</v>
      </c>
      <c r="H640" s="4">
        <f t="shared" si="1"/>
        <v>1100</v>
      </c>
      <c r="I640" s="4">
        <f t="shared" si="2"/>
        <v>200</v>
      </c>
      <c r="J640" s="4">
        <f t="shared" si="3"/>
        <v>18.18181818</v>
      </c>
    </row>
    <row r="641" ht="15.75" customHeight="1">
      <c r="A641" s="12">
        <v>46174.0</v>
      </c>
      <c r="B641" s="3" t="s">
        <v>14</v>
      </c>
      <c r="C641" s="3" t="s">
        <v>12</v>
      </c>
      <c r="D641" s="3">
        <v>60.0</v>
      </c>
      <c r="E641" s="3" t="s">
        <v>13</v>
      </c>
      <c r="F641" s="3">
        <v>300.0</v>
      </c>
      <c r="G641" s="3">
        <v>365.0</v>
      </c>
      <c r="H641" s="4">
        <f t="shared" si="1"/>
        <v>21900</v>
      </c>
      <c r="I641" s="4">
        <f t="shared" si="2"/>
        <v>3900</v>
      </c>
      <c r="J641" s="4">
        <f t="shared" si="3"/>
        <v>17.80821918</v>
      </c>
    </row>
    <row r="642" ht="15.75" customHeight="1">
      <c r="A642" s="12">
        <v>46174.0</v>
      </c>
      <c r="B642" s="3" t="s">
        <v>24</v>
      </c>
      <c r="C642" s="3" t="s">
        <v>25</v>
      </c>
      <c r="D642" s="3">
        <v>284.0</v>
      </c>
      <c r="E642" s="3" t="s">
        <v>23</v>
      </c>
      <c r="F642" s="3">
        <v>52.0</v>
      </c>
      <c r="G642" s="3">
        <v>55.0</v>
      </c>
      <c r="H642" s="4">
        <f t="shared" si="1"/>
        <v>15620</v>
      </c>
      <c r="I642" s="4">
        <f t="shared" si="2"/>
        <v>852</v>
      </c>
      <c r="J642" s="4">
        <f t="shared" si="3"/>
        <v>5.454545455</v>
      </c>
    </row>
    <row r="643" ht="15.75" customHeight="1">
      <c r="A643" s="12">
        <v>46174.0</v>
      </c>
      <c r="B643" s="3" t="s">
        <v>20</v>
      </c>
      <c r="C643" s="3" t="s">
        <v>18</v>
      </c>
      <c r="D643" s="3">
        <v>200.0</v>
      </c>
      <c r="E643" s="3" t="s">
        <v>19</v>
      </c>
      <c r="F643" s="3">
        <v>9.0</v>
      </c>
      <c r="G643" s="3">
        <v>10.0</v>
      </c>
      <c r="H643" s="4">
        <f t="shared" si="1"/>
        <v>2000</v>
      </c>
      <c r="I643" s="4">
        <f t="shared" si="2"/>
        <v>200</v>
      </c>
      <c r="J643" s="4">
        <f t="shared" si="3"/>
        <v>10</v>
      </c>
    </row>
    <row r="644" ht="15.75" customHeight="1">
      <c r="A644" s="12">
        <v>46204.0</v>
      </c>
      <c r="B644" s="3" t="s">
        <v>30</v>
      </c>
      <c r="C644" s="3" t="s">
        <v>18</v>
      </c>
      <c r="D644" s="3">
        <v>150.0</v>
      </c>
      <c r="E644" s="3" t="s">
        <v>19</v>
      </c>
      <c r="F644" s="3">
        <v>8.0</v>
      </c>
      <c r="G644" s="3">
        <v>12.0</v>
      </c>
      <c r="H644" s="4">
        <f t="shared" si="1"/>
        <v>1800</v>
      </c>
      <c r="I644" s="4">
        <f t="shared" si="2"/>
        <v>600</v>
      </c>
      <c r="J644" s="4">
        <f t="shared" si="3"/>
        <v>33.33333333</v>
      </c>
    </row>
    <row r="645" ht="15.75" customHeight="1">
      <c r="A645" s="12">
        <v>46204.0</v>
      </c>
      <c r="B645" s="3" t="s">
        <v>21</v>
      </c>
      <c r="C645" s="3" t="s">
        <v>22</v>
      </c>
      <c r="D645" s="3">
        <v>10.0</v>
      </c>
      <c r="E645" s="3" t="s">
        <v>23</v>
      </c>
      <c r="F645" s="3">
        <v>70.0</v>
      </c>
      <c r="G645" s="3">
        <v>76.0</v>
      </c>
      <c r="H645" s="4">
        <f t="shared" si="1"/>
        <v>760</v>
      </c>
      <c r="I645" s="4">
        <f t="shared" si="2"/>
        <v>60</v>
      </c>
      <c r="J645" s="4">
        <f t="shared" si="3"/>
        <v>7.894736842</v>
      </c>
    </row>
    <row r="646" ht="15.75" customHeight="1">
      <c r="A646" s="12">
        <v>46204.0</v>
      </c>
      <c r="B646" s="3" t="s">
        <v>29</v>
      </c>
      <c r="C646" s="3" t="s">
        <v>29</v>
      </c>
      <c r="D646" s="3">
        <v>20.0</v>
      </c>
      <c r="E646" s="3" t="s">
        <v>27</v>
      </c>
      <c r="F646" s="3">
        <v>240.0</v>
      </c>
      <c r="G646" s="3">
        <v>280.0</v>
      </c>
      <c r="H646" s="4">
        <f t="shared" si="1"/>
        <v>5600</v>
      </c>
      <c r="I646" s="4">
        <f t="shared" si="2"/>
        <v>800</v>
      </c>
      <c r="J646" s="4">
        <f t="shared" si="3"/>
        <v>14.28571429</v>
      </c>
    </row>
    <row r="647" ht="15.75" customHeight="1">
      <c r="A647" s="12">
        <v>46235.0</v>
      </c>
      <c r="B647" s="3" t="s">
        <v>15</v>
      </c>
      <c r="C647" s="3" t="s">
        <v>12</v>
      </c>
      <c r="D647" s="3">
        <v>80.0</v>
      </c>
      <c r="E647" s="3" t="s">
        <v>13</v>
      </c>
      <c r="F647" s="3">
        <v>270.0</v>
      </c>
      <c r="G647" s="3">
        <v>320.0</v>
      </c>
      <c r="H647" s="4">
        <f t="shared" si="1"/>
        <v>25600</v>
      </c>
      <c r="I647" s="4">
        <f t="shared" si="2"/>
        <v>4000</v>
      </c>
      <c r="J647" s="4">
        <f t="shared" si="3"/>
        <v>15.625</v>
      </c>
    </row>
    <row r="648" ht="15.75" customHeight="1">
      <c r="A648" s="12">
        <v>46235.0</v>
      </c>
      <c r="B648" s="3" t="s">
        <v>17</v>
      </c>
      <c r="C648" s="3" t="s">
        <v>18</v>
      </c>
      <c r="D648" s="3">
        <v>25.0</v>
      </c>
      <c r="E648" s="3" t="s">
        <v>19</v>
      </c>
      <c r="F648" s="3">
        <v>8.0</v>
      </c>
      <c r="G648" s="3">
        <v>12.0</v>
      </c>
      <c r="H648" s="4">
        <f t="shared" si="1"/>
        <v>300</v>
      </c>
      <c r="I648" s="4">
        <f t="shared" si="2"/>
        <v>100</v>
      </c>
      <c r="J648" s="4">
        <f t="shared" si="3"/>
        <v>33.33333333</v>
      </c>
    </row>
    <row r="649" ht="15.75" customHeight="1">
      <c r="A649" s="12">
        <v>46235.0</v>
      </c>
      <c r="B649" s="3" t="s">
        <v>20</v>
      </c>
      <c r="C649" s="3" t="s">
        <v>18</v>
      </c>
      <c r="D649" s="3">
        <v>10.0</v>
      </c>
      <c r="E649" s="3" t="s">
        <v>19</v>
      </c>
      <c r="F649" s="3">
        <v>9.0</v>
      </c>
      <c r="G649" s="3">
        <v>10.0</v>
      </c>
      <c r="H649" s="4">
        <f t="shared" si="1"/>
        <v>100</v>
      </c>
      <c r="I649" s="4">
        <f t="shared" si="2"/>
        <v>10</v>
      </c>
      <c r="J649" s="4">
        <f t="shared" si="3"/>
        <v>10</v>
      </c>
    </row>
    <row r="650" ht="15.75" customHeight="1">
      <c r="A650" s="12">
        <v>46235.0</v>
      </c>
      <c r="B650" s="3" t="s">
        <v>21</v>
      </c>
      <c r="C650" s="3" t="s">
        <v>22</v>
      </c>
      <c r="D650" s="3">
        <v>10.0</v>
      </c>
      <c r="E650" s="3" t="s">
        <v>23</v>
      </c>
      <c r="F650" s="3">
        <v>70.0</v>
      </c>
      <c r="G650" s="3">
        <v>76.0</v>
      </c>
      <c r="H650" s="4">
        <f t="shared" si="1"/>
        <v>760</v>
      </c>
      <c r="I650" s="4">
        <f t="shared" si="2"/>
        <v>60</v>
      </c>
      <c r="J650" s="4">
        <f t="shared" si="3"/>
        <v>7.894736842</v>
      </c>
    </row>
    <row r="651" ht="15.75" customHeight="1">
      <c r="A651" s="12">
        <v>46235.0</v>
      </c>
      <c r="B651" s="3" t="s">
        <v>11</v>
      </c>
      <c r="C651" s="3" t="s">
        <v>12</v>
      </c>
      <c r="D651" s="3">
        <v>60.0</v>
      </c>
      <c r="E651" s="3" t="s">
        <v>13</v>
      </c>
      <c r="F651" s="3">
        <v>260.0</v>
      </c>
      <c r="G651" s="3">
        <v>320.0</v>
      </c>
      <c r="H651" s="4">
        <f t="shared" si="1"/>
        <v>19200</v>
      </c>
      <c r="I651" s="4">
        <f t="shared" si="2"/>
        <v>3600</v>
      </c>
      <c r="J651" s="4">
        <f t="shared" si="3"/>
        <v>18.75</v>
      </c>
    </row>
    <row r="652" ht="15.75" customHeight="1">
      <c r="A652" s="12">
        <v>46235.0</v>
      </c>
      <c r="B652" s="3" t="s">
        <v>15</v>
      </c>
      <c r="C652" s="3" t="s">
        <v>12</v>
      </c>
      <c r="D652" s="3">
        <v>10.0</v>
      </c>
      <c r="E652" s="3" t="s">
        <v>13</v>
      </c>
      <c r="F652" s="3">
        <v>270.0</v>
      </c>
      <c r="G652" s="3">
        <v>320.0</v>
      </c>
      <c r="H652" s="4">
        <f t="shared" si="1"/>
        <v>3200</v>
      </c>
      <c r="I652" s="4">
        <f t="shared" si="2"/>
        <v>500</v>
      </c>
      <c r="J652" s="4">
        <f t="shared" si="3"/>
        <v>15.625</v>
      </c>
    </row>
    <row r="653" ht="15.75" customHeight="1">
      <c r="A653" s="13">
        <v>46266.0</v>
      </c>
      <c r="B653" s="3" t="s">
        <v>32</v>
      </c>
      <c r="C653" s="3" t="s">
        <v>25</v>
      </c>
      <c r="D653" s="3">
        <v>51.0</v>
      </c>
      <c r="E653" s="3" t="s">
        <v>23</v>
      </c>
      <c r="F653" s="3">
        <v>52.0</v>
      </c>
      <c r="G653" s="3">
        <v>55.0</v>
      </c>
      <c r="H653" s="4">
        <f t="shared" si="1"/>
        <v>2805</v>
      </c>
      <c r="I653" s="4">
        <f t="shared" si="2"/>
        <v>153</v>
      </c>
      <c r="J653" s="4">
        <f t="shared" si="3"/>
        <v>5.454545455</v>
      </c>
    </row>
    <row r="654" ht="15.75" customHeight="1">
      <c r="A654" s="13">
        <v>46266.0</v>
      </c>
      <c r="B654" s="3" t="s">
        <v>14</v>
      </c>
      <c r="C654" s="3" t="s">
        <v>12</v>
      </c>
      <c r="D654" s="3">
        <v>4.0</v>
      </c>
      <c r="E654" s="3" t="s">
        <v>13</v>
      </c>
      <c r="F654" s="3">
        <v>300.0</v>
      </c>
      <c r="G654" s="3">
        <v>365.0</v>
      </c>
      <c r="H654" s="4">
        <f t="shared" si="1"/>
        <v>1460</v>
      </c>
      <c r="I654" s="4">
        <f t="shared" si="2"/>
        <v>260</v>
      </c>
      <c r="J654" s="4">
        <f t="shared" si="3"/>
        <v>17.80821918</v>
      </c>
    </row>
    <row r="655" ht="15.75" customHeight="1">
      <c r="A655" s="13">
        <v>46266.0</v>
      </c>
      <c r="B655" s="3" t="s">
        <v>32</v>
      </c>
      <c r="C655" s="3" t="s">
        <v>25</v>
      </c>
      <c r="D655" s="3">
        <v>102.0</v>
      </c>
      <c r="E655" s="3" t="s">
        <v>23</v>
      </c>
      <c r="F655" s="3">
        <v>52.0</v>
      </c>
      <c r="G655" s="3">
        <v>55.0</v>
      </c>
      <c r="H655" s="4">
        <f t="shared" si="1"/>
        <v>5610</v>
      </c>
      <c r="I655" s="4">
        <f t="shared" si="2"/>
        <v>306</v>
      </c>
      <c r="J655" s="4">
        <f t="shared" si="3"/>
        <v>5.454545455</v>
      </c>
    </row>
    <row r="656" ht="15.75" customHeight="1">
      <c r="A656" s="13">
        <v>46296.0</v>
      </c>
      <c r="B656" s="3" t="s">
        <v>30</v>
      </c>
      <c r="C656" s="3" t="s">
        <v>18</v>
      </c>
      <c r="D656" s="3">
        <v>120.0</v>
      </c>
      <c r="E656" s="3" t="s">
        <v>19</v>
      </c>
      <c r="F656" s="3">
        <v>8.0</v>
      </c>
      <c r="G656" s="3">
        <v>12.0</v>
      </c>
      <c r="H656" s="4">
        <f t="shared" si="1"/>
        <v>1440</v>
      </c>
      <c r="I656" s="4">
        <f t="shared" si="2"/>
        <v>480</v>
      </c>
      <c r="J656" s="4">
        <f t="shared" si="3"/>
        <v>33.33333333</v>
      </c>
    </row>
    <row r="657" ht="15.75" customHeight="1">
      <c r="A657" s="13">
        <v>46296.0</v>
      </c>
      <c r="B657" s="3" t="s">
        <v>14</v>
      </c>
      <c r="C657" s="3" t="s">
        <v>12</v>
      </c>
      <c r="D657" s="3">
        <v>2.0</v>
      </c>
      <c r="E657" s="3" t="s">
        <v>13</v>
      </c>
      <c r="F657" s="3">
        <v>300.0</v>
      </c>
      <c r="G657" s="3">
        <v>365.0</v>
      </c>
      <c r="H657" s="4">
        <f t="shared" si="1"/>
        <v>730</v>
      </c>
      <c r="I657" s="4">
        <f t="shared" si="2"/>
        <v>130</v>
      </c>
      <c r="J657" s="4">
        <f t="shared" si="3"/>
        <v>17.80821918</v>
      </c>
    </row>
    <row r="658" ht="15.75" customHeight="1">
      <c r="A658" s="13">
        <v>46296.0</v>
      </c>
      <c r="B658" s="3" t="s">
        <v>26</v>
      </c>
      <c r="C658" s="3" t="s">
        <v>26</v>
      </c>
      <c r="D658" s="3">
        <v>5.0</v>
      </c>
      <c r="E658" s="3" t="s">
        <v>27</v>
      </c>
      <c r="F658" s="3">
        <v>180.0</v>
      </c>
      <c r="G658" s="3">
        <v>220.0</v>
      </c>
      <c r="H658" s="4">
        <f t="shared" si="1"/>
        <v>1100</v>
      </c>
      <c r="I658" s="4">
        <f t="shared" si="2"/>
        <v>200</v>
      </c>
      <c r="J658" s="4">
        <f t="shared" si="3"/>
        <v>18.18181818</v>
      </c>
    </row>
    <row r="659" ht="15.75" customHeight="1">
      <c r="A659" s="13">
        <v>46296.0</v>
      </c>
      <c r="B659" s="3" t="s">
        <v>15</v>
      </c>
      <c r="C659" s="3" t="s">
        <v>12</v>
      </c>
      <c r="D659" s="3">
        <v>1.0</v>
      </c>
      <c r="E659" s="3" t="s">
        <v>13</v>
      </c>
      <c r="F659" s="3">
        <v>270.0</v>
      </c>
      <c r="G659" s="3">
        <v>320.0</v>
      </c>
      <c r="H659" s="4">
        <f t="shared" si="1"/>
        <v>320</v>
      </c>
      <c r="I659" s="4">
        <f t="shared" si="2"/>
        <v>50</v>
      </c>
      <c r="J659" s="4">
        <f t="shared" si="3"/>
        <v>15.625</v>
      </c>
    </row>
    <row r="660" ht="15.75" customHeight="1">
      <c r="A660" s="13">
        <v>46327.0</v>
      </c>
      <c r="B660" s="3" t="s">
        <v>42</v>
      </c>
      <c r="C660" s="3" t="s">
        <v>43</v>
      </c>
      <c r="D660" s="3">
        <v>2.0</v>
      </c>
      <c r="E660" s="3" t="s">
        <v>19</v>
      </c>
      <c r="F660" s="3">
        <v>360.0</v>
      </c>
      <c r="G660" s="3">
        <v>400.0</v>
      </c>
      <c r="H660" s="4">
        <f t="shared" si="1"/>
        <v>800</v>
      </c>
      <c r="I660" s="4">
        <f t="shared" si="2"/>
        <v>80</v>
      </c>
      <c r="J660" s="4">
        <f t="shared" si="3"/>
        <v>10</v>
      </c>
    </row>
    <row r="661" ht="15.75" customHeight="1">
      <c r="A661" s="13">
        <v>46327.0</v>
      </c>
      <c r="B661" s="3" t="s">
        <v>30</v>
      </c>
      <c r="C661" s="3" t="s">
        <v>18</v>
      </c>
      <c r="D661" s="3">
        <v>250.0</v>
      </c>
      <c r="E661" s="3" t="s">
        <v>19</v>
      </c>
      <c r="F661" s="3">
        <v>8.0</v>
      </c>
      <c r="G661" s="3">
        <v>12.0</v>
      </c>
      <c r="H661" s="4">
        <f t="shared" si="1"/>
        <v>3000</v>
      </c>
      <c r="I661" s="4">
        <f t="shared" si="2"/>
        <v>1000</v>
      </c>
      <c r="J661" s="4">
        <f t="shared" si="3"/>
        <v>33.33333333</v>
      </c>
    </row>
    <row r="662" ht="15.75" customHeight="1">
      <c r="A662" s="13">
        <v>46327.0</v>
      </c>
      <c r="B662" s="3" t="s">
        <v>15</v>
      </c>
      <c r="C662" s="3" t="s">
        <v>12</v>
      </c>
      <c r="D662" s="3">
        <v>80.0</v>
      </c>
      <c r="E662" s="3" t="s">
        <v>13</v>
      </c>
      <c r="F662" s="3">
        <v>270.0</v>
      </c>
      <c r="G662" s="3">
        <v>320.0</v>
      </c>
      <c r="H662" s="4">
        <f t="shared" si="1"/>
        <v>25600</v>
      </c>
      <c r="I662" s="4">
        <f t="shared" si="2"/>
        <v>4000</v>
      </c>
      <c r="J662" s="4">
        <f t="shared" si="3"/>
        <v>15.625</v>
      </c>
    </row>
    <row r="663" ht="15.75" customHeight="1">
      <c r="A663" s="13">
        <v>46357.0</v>
      </c>
      <c r="B663" s="3" t="s">
        <v>26</v>
      </c>
      <c r="C663" s="3" t="s">
        <v>26</v>
      </c>
      <c r="D663" s="3">
        <v>10.0</v>
      </c>
      <c r="E663" s="3" t="s">
        <v>27</v>
      </c>
      <c r="F663" s="3">
        <v>180.0</v>
      </c>
      <c r="G663" s="3">
        <v>220.0</v>
      </c>
      <c r="H663" s="4">
        <f t="shared" si="1"/>
        <v>2200</v>
      </c>
      <c r="I663" s="4">
        <f t="shared" si="2"/>
        <v>400</v>
      </c>
      <c r="J663" s="4">
        <f t="shared" si="3"/>
        <v>18.18181818</v>
      </c>
    </row>
    <row r="664" ht="15.75" customHeight="1">
      <c r="A664" s="13">
        <v>46357.0</v>
      </c>
      <c r="B664" s="3" t="s">
        <v>14</v>
      </c>
      <c r="C664" s="3" t="s">
        <v>12</v>
      </c>
      <c r="D664" s="3">
        <v>100.0</v>
      </c>
      <c r="E664" s="3" t="s">
        <v>13</v>
      </c>
      <c r="F664" s="3">
        <v>300.0</v>
      </c>
      <c r="G664" s="3">
        <v>365.0</v>
      </c>
      <c r="H664" s="4">
        <f t="shared" si="1"/>
        <v>36500</v>
      </c>
      <c r="I664" s="4">
        <f t="shared" si="2"/>
        <v>6500</v>
      </c>
      <c r="J664" s="4">
        <f t="shared" si="3"/>
        <v>17.80821918</v>
      </c>
    </row>
    <row r="665" ht="15.75" customHeight="1">
      <c r="A665" s="13">
        <v>46357.0</v>
      </c>
      <c r="B665" s="3" t="s">
        <v>32</v>
      </c>
      <c r="C665" s="3" t="s">
        <v>25</v>
      </c>
      <c r="D665" s="3">
        <v>102.0</v>
      </c>
      <c r="E665" s="3" t="s">
        <v>23</v>
      </c>
      <c r="F665" s="3">
        <v>52.0</v>
      </c>
      <c r="G665" s="3">
        <v>55.0</v>
      </c>
      <c r="H665" s="4">
        <f t="shared" si="1"/>
        <v>5610</v>
      </c>
      <c r="I665" s="4">
        <f t="shared" si="2"/>
        <v>306</v>
      </c>
      <c r="J665" s="4">
        <f t="shared" si="3"/>
        <v>5.454545455</v>
      </c>
    </row>
    <row r="666" ht="15.75" customHeight="1">
      <c r="A666" s="13">
        <v>46357.0</v>
      </c>
      <c r="B666" s="3" t="s">
        <v>15</v>
      </c>
      <c r="C666" s="3" t="s">
        <v>12</v>
      </c>
      <c r="D666" s="3">
        <v>4.0</v>
      </c>
      <c r="E666" s="3" t="s">
        <v>13</v>
      </c>
      <c r="F666" s="3">
        <v>270.0</v>
      </c>
      <c r="G666" s="3">
        <v>320.0</v>
      </c>
      <c r="H666" s="4">
        <f t="shared" si="1"/>
        <v>1280</v>
      </c>
      <c r="I666" s="4">
        <f t="shared" si="2"/>
        <v>200</v>
      </c>
      <c r="J666" s="4">
        <f t="shared" si="3"/>
        <v>15.625</v>
      </c>
    </row>
    <row r="667" ht="15.75" customHeight="1">
      <c r="A667" s="13">
        <v>46357.0</v>
      </c>
      <c r="B667" s="3" t="s">
        <v>24</v>
      </c>
      <c r="C667" s="3" t="s">
        <v>25</v>
      </c>
      <c r="D667" s="3">
        <v>142.0</v>
      </c>
      <c r="E667" s="3" t="s">
        <v>23</v>
      </c>
      <c r="F667" s="3">
        <v>52.0</v>
      </c>
      <c r="G667" s="3">
        <v>55.0</v>
      </c>
      <c r="H667" s="4">
        <f t="shared" si="1"/>
        <v>7810</v>
      </c>
      <c r="I667" s="4">
        <f t="shared" si="2"/>
        <v>426</v>
      </c>
      <c r="J667" s="4">
        <f t="shared" si="3"/>
        <v>5.454545455</v>
      </c>
    </row>
    <row r="668" ht="15.75" customHeight="1">
      <c r="A668" s="4" t="s">
        <v>180</v>
      </c>
      <c r="B668" s="3" t="s">
        <v>14</v>
      </c>
      <c r="C668" s="3" t="s">
        <v>12</v>
      </c>
      <c r="D668" s="3">
        <v>12.0</v>
      </c>
      <c r="E668" s="3" t="s">
        <v>13</v>
      </c>
      <c r="F668" s="3">
        <v>300.0</v>
      </c>
      <c r="G668" s="3">
        <v>365.0</v>
      </c>
      <c r="H668" s="4">
        <f t="shared" si="1"/>
        <v>4380</v>
      </c>
      <c r="I668" s="4">
        <f t="shared" si="2"/>
        <v>780</v>
      </c>
      <c r="J668" s="4">
        <f t="shared" si="3"/>
        <v>17.80821918</v>
      </c>
    </row>
    <row r="669" ht="15.75" customHeight="1">
      <c r="A669" s="4" t="s">
        <v>180</v>
      </c>
      <c r="B669" s="3" t="s">
        <v>32</v>
      </c>
      <c r="C669" s="3" t="s">
        <v>25</v>
      </c>
      <c r="D669" s="3">
        <v>102.0</v>
      </c>
      <c r="E669" s="3" t="s">
        <v>23</v>
      </c>
      <c r="F669" s="3">
        <v>52.0</v>
      </c>
      <c r="G669" s="3">
        <v>55.0</v>
      </c>
      <c r="H669" s="4">
        <f t="shared" si="1"/>
        <v>5610</v>
      </c>
      <c r="I669" s="4">
        <f t="shared" si="2"/>
        <v>306</v>
      </c>
      <c r="J669" s="4">
        <f t="shared" si="3"/>
        <v>5.454545455</v>
      </c>
    </row>
    <row r="670" ht="15.75" customHeight="1">
      <c r="A670" s="4" t="s">
        <v>180</v>
      </c>
      <c r="B670" s="3" t="s">
        <v>24</v>
      </c>
      <c r="C670" s="3" t="s">
        <v>25</v>
      </c>
      <c r="D670" s="3">
        <v>71.0</v>
      </c>
      <c r="E670" s="3" t="s">
        <v>23</v>
      </c>
      <c r="F670" s="3">
        <v>52.0</v>
      </c>
      <c r="G670" s="3">
        <v>55.0</v>
      </c>
      <c r="H670" s="4">
        <f t="shared" si="1"/>
        <v>3905</v>
      </c>
      <c r="I670" s="4">
        <f t="shared" si="2"/>
        <v>213</v>
      </c>
      <c r="J670" s="4">
        <f t="shared" si="3"/>
        <v>5.454545455</v>
      </c>
    </row>
    <row r="671" ht="15.75" customHeight="1">
      <c r="A671" s="4" t="s">
        <v>180</v>
      </c>
      <c r="B671" s="3" t="s">
        <v>20</v>
      </c>
      <c r="C671" s="3" t="s">
        <v>18</v>
      </c>
      <c r="D671" s="3">
        <v>30.0</v>
      </c>
      <c r="E671" s="3" t="s">
        <v>19</v>
      </c>
      <c r="F671" s="3">
        <v>9.0</v>
      </c>
      <c r="G671" s="3">
        <v>10.0</v>
      </c>
      <c r="H671" s="4">
        <f t="shared" si="1"/>
        <v>300</v>
      </c>
      <c r="I671" s="4">
        <f t="shared" si="2"/>
        <v>30</v>
      </c>
      <c r="J671" s="4">
        <f t="shared" si="3"/>
        <v>10</v>
      </c>
    </row>
    <row r="672" ht="15.75" customHeight="1">
      <c r="A672" s="4" t="s">
        <v>181</v>
      </c>
      <c r="B672" s="3" t="s">
        <v>30</v>
      </c>
      <c r="C672" s="3" t="s">
        <v>18</v>
      </c>
      <c r="D672" s="3">
        <v>250.0</v>
      </c>
      <c r="E672" s="3" t="s">
        <v>19</v>
      </c>
      <c r="F672" s="3">
        <v>8.0</v>
      </c>
      <c r="G672" s="3">
        <v>12.0</v>
      </c>
      <c r="H672" s="4">
        <f t="shared" si="1"/>
        <v>3000</v>
      </c>
      <c r="I672" s="4">
        <f t="shared" si="2"/>
        <v>1000</v>
      </c>
      <c r="J672" s="4">
        <f t="shared" si="3"/>
        <v>33.33333333</v>
      </c>
    </row>
    <row r="673" ht="15.75" customHeight="1">
      <c r="A673" s="4" t="s">
        <v>181</v>
      </c>
      <c r="B673" s="3" t="s">
        <v>26</v>
      </c>
      <c r="C673" s="3" t="s">
        <v>26</v>
      </c>
      <c r="D673" s="3">
        <v>20.0</v>
      </c>
      <c r="E673" s="3" t="s">
        <v>27</v>
      </c>
      <c r="F673" s="3">
        <v>180.0</v>
      </c>
      <c r="G673" s="3">
        <v>220.0</v>
      </c>
      <c r="H673" s="4">
        <f t="shared" si="1"/>
        <v>4400</v>
      </c>
      <c r="I673" s="4">
        <f t="shared" si="2"/>
        <v>800</v>
      </c>
      <c r="J673" s="4">
        <f t="shared" si="3"/>
        <v>18.18181818</v>
      </c>
    </row>
    <row r="674" ht="15.75" customHeight="1">
      <c r="A674" s="4" t="s">
        <v>181</v>
      </c>
      <c r="B674" s="3" t="s">
        <v>15</v>
      </c>
      <c r="C674" s="3" t="s">
        <v>12</v>
      </c>
      <c r="D674" s="3">
        <v>80.0</v>
      </c>
      <c r="E674" s="3" t="s">
        <v>13</v>
      </c>
      <c r="F674" s="3">
        <v>270.0</v>
      </c>
      <c r="G674" s="3">
        <v>320.0</v>
      </c>
      <c r="H674" s="4">
        <f t="shared" si="1"/>
        <v>25600</v>
      </c>
      <c r="I674" s="4">
        <f t="shared" si="2"/>
        <v>4000</v>
      </c>
      <c r="J674" s="4">
        <f t="shared" si="3"/>
        <v>15.625</v>
      </c>
    </row>
    <row r="675" ht="15.75" customHeight="1">
      <c r="A675" s="4" t="s">
        <v>182</v>
      </c>
      <c r="B675" s="3" t="s">
        <v>30</v>
      </c>
      <c r="C675" s="3" t="s">
        <v>18</v>
      </c>
      <c r="D675" s="3">
        <v>20.0</v>
      </c>
      <c r="E675" s="3" t="s">
        <v>19</v>
      </c>
      <c r="F675" s="3">
        <v>8.0</v>
      </c>
      <c r="G675" s="3">
        <v>12.0</v>
      </c>
      <c r="H675" s="4">
        <f t="shared" si="1"/>
        <v>240</v>
      </c>
      <c r="I675" s="4">
        <f t="shared" si="2"/>
        <v>80</v>
      </c>
      <c r="J675" s="4">
        <f t="shared" si="3"/>
        <v>33.33333333</v>
      </c>
    </row>
    <row r="676" ht="15.75" customHeight="1">
      <c r="A676" s="4" t="s">
        <v>182</v>
      </c>
      <c r="B676" s="3" t="s">
        <v>11</v>
      </c>
      <c r="C676" s="3" t="s">
        <v>12</v>
      </c>
      <c r="D676" s="3">
        <v>15.0</v>
      </c>
      <c r="E676" s="3" t="s">
        <v>13</v>
      </c>
      <c r="F676" s="3">
        <v>260.0</v>
      </c>
      <c r="G676" s="3">
        <v>320.0</v>
      </c>
      <c r="H676" s="4">
        <f t="shared" si="1"/>
        <v>4800</v>
      </c>
      <c r="I676" s="4">
        <f t="shared" si="2"/>
        <v>900</v>
      </c>
      <c r="J676" s="4">
        <f t="shared" si="3"/>
        <v>18.75</v>
      </c>
    </row>
    <row r="677" ht="15.75" customHeight="1">
      <c r="A677" s="4" t="s">
        <v>182</v>
      </c>
      <c r="B677" s="3" t="s">
        <v>20</v>
      </c>
      <c r="C677" s="3" t="s">
        <v>18</v>
      </c>
      <c r="D677" s="3">
        <v>100.0</v>
      </c>
      <c r="E677" s="3" t="s">
        <v>19</v>
      </c>
      <c r="F677" s="3">
        <v>9.0</v>
      </c>
      <c r="G677" s="3">
        <v>9.0</v>
      </c>
      <c r="H677" s="4">
        <f t="shared" si="1"/>
        <v>900</v>
      </c>
      <c r="I677" s="4">
        <f t="shared" si="2"/>
        <v>0</v>
      </c>
      <c r="J677" s="4">
        <f t="shared" si="3"/>
        <v>0</v>
      </c>
    </row>
    <row r="678" ht="15.75" customHeight="1">
      <c r="A678" s="4" t="s">
        <v>182</v>
      </c>
      <c r="B678" s="3" t="s">
        <v>24</v>
      </c>
      <c r="C678" s="3" t="s">
        <v>25</v>
      </c>
      <c r="D678" s="3">
        <v>71.0</v>
      </c>
      <c r="E678" s="3" t="s">
        <v>23</v>
      </c>
      <c r="F678" s="3">
        <v>52.0</v>
      </c>
      <c r="G678" s="3">
        <v>55.0</v>
      </c>
      <c r="H678" s="4">
        <f t="shared" si="1"/>
        <v>3905</v>
      </c>
      <c r="I678" s="4">
        <f t="shared" si="2"/>
        <v>213</v>
      </c>
      <c r="J678" s="4">
        <f t="shared" si="3"/>
        <v>5.454545455</v>
      </c>
    </row>
    <row r="679" ht="15.75" customHeight="1">
      <c r="A679" s="4" t="s">
        <v>183</v>
      </c>
      <c r="B679" s="3" t="s">
        <v>17</v>
      </c>
      <c r="C679" s="3" t="s">
        <v>18</v>
      </c>
      <c r="D679" s="3">
        <v>50.0</v>
      </c>
      <c r="E679" s="3" t="s">
        <v>19</v>
      </c>
      <c r="F679" s="3">
        <v>8.0</v>
      </c>
      <c r="G679" s="3">
        <v>12.0</v>
      </c>
      <c r="H679" s="4">
        <f t="shared" si="1"/>
        <v>600</v>
      </c>
      <c r="I679" s="4">
        <f t="shared" si="2"/>
        <v>200</v>
      </c>
      <c r="J679" s="4">
        <f t="shared" si="3"/>
        <v>33.33333333</v>
      </c>
    </row>
    <row r="680" ht="15.75" customHeight="1">
      <c r="A680" s="4" t="s">
        <v>183</v>
      </c>
      <c r="B680" s="3" t="s">
        <v>32</v>
      </c>
      <c r="C680" s="3" t="s">
        <v>25</v>
      </c>
      <c r="D680" s="3">
        <v>151.0</v>
      </c>
      <c r="E680" s="3" t="s">
        <v>23</v>
      </c>
      <c r="F680" s="3">
        <v>52.0</v>
      </c>
      <c r="G680" s="3">
        <v>55.0</v>
      </c>
      <c r="H680" s="4">
        <f t="shared" si="1"/>
        <v>8305</v>
      </c>
      <c r="I680" s="4">
        <f t="shared" si="2"/>
        <v>453</v>
      </c>
      <c r="J680" s="4">
        <f t="shared" si="3"/>
        <v>5.454545455</v>
      </c>
    </row>
    <row r="681" ht="15.75" customHeight="1">
      <c r="A681" s="4" t="s">
        <v>184</v>
      </c>
      <c r="B681" s="3" t="s">
        <v>40</v>
      </c>
      <c r="C681" s="3" t="s">
        <v>12</v>
      </c>
      <c r="D681" s="3">
        <v>30.0</v>
      </c>
      <c r="E681" s="3" t="s">
        <v>13</v>
      </c>
      <c r="F681" s="3">
        <v>360.0</v>
      </c>
      <c r="G681" s="3">
        <v>420.0</v>
      </c>
      <c r="H681" s="4">
        <f t="shared" si="1"/>
        <v>12600</v>
      </c>
      <c r="I681" s="4">
        <f t="shared" si="2"/>
        <v>1800</v>
      </c>
      <c r="J681" s="4">
        <f t="shared" si="3"/>
        <v>14.28571429</v>
      </c>
    </row>
    <row r="682" ht="15.75" customHeight="1">
      <c r="A682" s="4" t="s">
        <v>184</v>
      </c>
      <c r="B682" s="3" t="s">
        <v>30</v>
      </c>
      <c r="C682" s="3" t="s">
        <v>18</v>
      </c>
      <c r="D682" s="3">
        <v>40.0</v>
      </c>
      <c r="E682" s="3" t="s">
        <v>19</v>
      </c>
      <c r="F682" s="3">
        <v>8.0</v>
      </c>
      <c r="G682" s="3">
        <v>12.0</v>
      </c>
      <c r="H682" s="4">
        <f t="shared" si="1"/>
        <v>480</v>
      </c>
      <c r="I682" s="4">
        <f t="shared" si="2"/>
        <v>160</v>
      </c>
      <c r="J682" s="4">
        <f t="shared" si="3"/>
        <v>33.33333333</v>
      </c>
    </row>
    <row r="683" ht="15.75" customHeight="1">
      <c r="A683" s="4" t="s">
        <v>184</v>
      </c>
      <c r="B683" s="3" t="s">
        <v>17</v>
      </c>
      <c r="C683" s="3" t="s">
        <v>18</v>
      </c>
      <c r="D683" s="3">
        <v>25.0</v>
      </c>
      <c r="E683" s="3" t="s">
        <v>19</v>
      </c>
      <c r="F683" s="3">
        <v>8.0</v>
      </c>
      <c r="G683" s="3">
        <v>12.0</v>
      </c>
      <c r="H683" s="4">
        <f t="shared" si="1"/>
        <v>300</v>
      </c>
      <c r="I683" s="4">
        <f t="shared" si="2"/>
        <v>100</v>
      </c>
      <c r="J683" s="4">
        <f t="shared" si="3"/>
        <v>33.33333333</v>
      </c>
    </row>
    <row r="684" ht="15.75" customHeight="1">
      <c r="A684" s="4" t="s">
        <v>185</v>
      </c>
      <c r="B684" s="3" t="s">
        <v>14</v>
      </c>
      <c r="C684" s="3" t="s">
        <v>12</v>
      </c>
      <c r="D684" s="3">
        <v>45.0</v>
      </c>
      <c r="E684" s="3" t="s">
        <v>13</v>
      </c>
      <c r="F684" s="3">
        <v>300.0</v>
      </c>
      <c r="G684" s="3">
        <v>365.0</v>
      </c>
      <c r="H684" s="4">
        <f t="shared" si="1"/>
        <v>16425</v>
      </c>
      <c r="I684" s="4">
        <f t="shared" si="2"/>
        <v>2925</v>
      </c>
      <c r="J684" s="4">
        <f t="shared" si="3"/>
        <v>17.80821918</v>
      </c>
    </row>
    <row r="685" ht="15.75" customHeight="1">
      <c r="A685" s="4" t="s">
        <v>185</v>
      </c>
      <c r="B685" s="3" t="s">
        <v>11</v>
      </c>
      <c r="C685" s="3" t="s">
        <v>12</v>
      </c>
      <c r="D685" s="3">
        <v>100.0</v>
      </c>
      <c r="E685" s="3" t="s">
        <v>13</v>
      </c>
      <c r="F685" s="3">
        <v>260.0</v>
      </c>
      <c r="G685" s="3">
        <v>320.0</v>
      </c>
      <c r="H685" s="4">
        <f t="shared" si="1"/>
        <v>32000</v>
      </c>
      <c r="I685" s="4">
        <f t="shared" si="2"/>
        <v>6000</v>
      </c>
      <c r="J685" s="4">
        <f t="shared" si="3"/>
        <v>18.75</v>
      </c>
    </row>
    <row r="686" ht="15.75" customHeight="1">
      <c r="A686" s="4" t="s">
        <v>185</v>
      </c>
      <c r="B686" s="3" t="s">
        <v>30</v>
      </c>
      <c r="C686" s="3" t="s">
        <v>18</v>
      </c>
      <c r="D686" s="3">
        <v>25.0</v>
      </c>
      <c r="E686" s="3" t="s">
        <v>19</v>
      </c>
      <c r="F686" s="3">
        <v>8.0</v>
      </c>
      <c r="G686" s="3">
        <v>12.0</v>
      </c>
      <c r="H686" s="4">
        <f t="shared" si="1"/>
        <v>300</v>
      </c>
      <c r="I686" s="4">
        <f t="shared" si="2"/>
        <v>100</v>
      </c>
      <c r="J686" s="4">
        <f t="shared" si="3"/>
        <v>33.33333333</v>
      </c>
    </row>
    <row r="687" ht="15.75" customHeight="1">
      <c r="A687" s="4" t="s">
        <v>186</v>
      </c>
      <c r="B687" s="3" t="s">
        <v>26</v>
      </c>
      <c r="C687" s="3" t="s">
        <v>26</v>
      </c>
      <c r="D687" s="3">
        <v>4.0</v>
      </c>
      <c r="E687" s="3" t="s">
        <v>27</v>
      </c>
      <c r="F687" s="3">
        <v>180.0</v>
      </c>
      <c r="G687" s="3">
        <v>220.0</v>
      </c>
      <c r="H687" s="4">
        <f t="shared" si="1"/>
        <v>880</v>
      </c>
      <c r="I687" s="4">
        <f t="shared" si="2"/>
        <v>160</v>
      </c>
      <c r="J687" s="4">
        <f t="shared" si="3"/>
        <v>18.18181818</v>
      </c>
    </row>
    <row r="688" ht="15.75" customHeight="1">
      <c r="A688" s="4" t="s">
        <v>186</v>
      </c>
      <c r="B688" s="3" t="s">
        <v>24</v>
      </c>
      <c r="C688" s="3" t="s">
        <v>25</v>
      </c>
      <c r="D688" s="3">
        <v>71.0</v>
      </c>
      <c r="E688" s="3" t="s">
        <v>23</v>
      </c>
      <c r="F688" s="3">
        <v>52.0</v>
      </c>
      <c r="G688" s="3">
        <v>55.0</v>
      </c>
      <c r="H688" s="4">
        <f t="shared" si="1"/>
        <v>3905</v>
      </c>
      <c r="I688" s="4">
        <f t="shared" si="2"/>
        <v>213</v>
      </c>
      <c r="J688" s="4">
        <f t="shared" si="3"/>
        <v>5.454545455</v>
      </c>
    </row>
    <row r="689" ht="15.75" customHeight="1">
      <c r="A689" s="4" t="s">
        <v>187</v>
      </c>
      <c r="B689" s="3" t="s">
        <v>29</v>
      </c>
      <c r="C689" s="3" t="s">
        <v>29</v>
      </c>
      <c r="D689" s="3">
        <v>5.0</v>
      </c>
      <c r="E689" s="3" t="s">
        <v>27</v>
      </c>
      <c r="F689" s="3">
        <v>240.0</v>
      </c>
      <c r="G689" s="3">
        <v>280.0</v>
      </c>
      <c r="H689" s="4">
        <f t="shared" si="1"/>
        <v>1400</v>
      </c>
      <c r="I689" s="4">
        <f t="shared" si="2"/>
        <v>200</v>
      </c>
      <c r="J689" s="4">
        <f t="shared" si="3"/>
        <v>14.28571429</v>
      </c>
    </row>
    <row r="690" ht="15.75" customHeight="1">
      <c r="A690" s="4" t="s">
        <v>187</v>
      </c>
      <c r="B690" s="3" t="s">
        <v>32</v>
      </c>
      <c r="C690" s="3" t="s">
        <v>25</v>
      </c>
      <c r="D690" s="3">
        <v>51.0</v>
      </c>
      <c r="E690" s="3" t="s">
        <v>23</v>
      </c>
      <c r="F690" s="3">
        <v>52.0</v>
      </c>
      <c r="G690" s="3">
        <v>55.0</v>
      </c>
      <c r="H690" s="4">
        <f t="shared" si="1"/>
        <v>2805</v>
      </c>
      <c r="I690" s="4">
        <f t="shared" si="2"/>
        <v>153</v>
      </c>
      <c r="J690" s="4">
        <f t="shared" si="3"/>
        <v>5.454545455</v>
      </c>
    </row>
    <row r="691" ht="15.75" customHeight="1">
      <c r="A691" s="4" t="s">
        <v>187</v>
      </c>
      <c r="B691" s="3" t="s">
        <v>14</v>
      </c>
      <c r="C691" s="3" t="s">
        <v>12</v>
      </c>
      <c r="D691" s="3">
        <v>40.0</v>
      </c>
      <c r="E691" s="3" t="s">
        <v>13</v>
      </c>
      <c r="F691" s="3">
        <v>300.0</v>
      </c>
      <c r="G691" s="3">
        <v>365.0</v>
      </c>
      <c r="H691" s="4">
        <f t="shared" si="1"/>
        <v>14600</v>
      </c>
      <c r="I691" s="4">
        <f t="shared" si="2"/>
        <v>2600</v>
      </c>
      <c r="J691" s="4">
        <f t="shared" si="3"/>
        <v>17.80821918</v>
      </c>
    </row>
    <row r="692" ht="15.75" customHeight="1">
      <c r="A692" s="4" t="s">
        <v>187</v>
      </c>
      <c r="B692" s="3" t="s">
        <v>15</v>
      </c>
      <c r="C692" s="3" t="s">
        <v>12</v>
      </c>
      <c r="D692" s="3">
        <v>25.0</v>
      </c>
      <c r="E692" s="3" t="s">
        <v>13</v>
      </c>
      <c r="F692" s="3">
        <v>270.0</v>
      </c>
      <c r="G692" s="3">
        <v>320.0</v>
      </c>
      <c r="H692" s="4">
        <f t="shared" si="1"/>
        <v>8000</v>
      </c>
      <c r="I692" s="4">
        <f t="shared" si="2"/>
        <v>1250</v>
      </c>
      <c r="J692" s="4">
        <f t="shared" si="3"/>
        <v>15.625</v>
      </c>
    </row>
    <row r="693" ht="15.75" customHeight="1">
      <c r="A693" s="4" t="s">
        <v>187</v>
      </c>
      <c r="B693" s="3" t="s">
        <v>32</v>
      </c>
      <c r="C693" s="3" t="s">
        <v>25</v>
      </c>
      <c r="D693" s="3">
        <v>51.0</v>
      </c>
      <c r="E693" s="3" t="s">
        <v>23</v>
      </c>
      <c r="F693" s="3">
        <v>52.0</v>
      </c>
      <c r="G693" s="3">
        <v>55.0</v>
      </c>
      <c r="H693" s="4">
        <f t="shared" si="1"/>
        <v>2805</v>
      </c>
      <c r="I693" s="4">
        <f t="shared" si="2"/>
        <v>153</v>
      </c>
      <c r="J693" s="4">
        <f t="shared" si="3"/>
        <v>5.454545455</v>
      </c>
    </row>
    <row r="694" ht="15.75" customHeight="1">
      <c r="A694" s="4" t="s">
        <v>188</v>
      </c>
      <c r="B694" s="3" t="s">
        <v>26</v>
      </c>
      <c r="C694" s="3" t="s">
        <v>26</v>
      </c>
      <c r="D694" s="3">
        <v>20.0</v>
      </c>
      <c r="E694" s="3" t="s">
        <v>27</v>
      </c>
      <c r="F694" s="3">
        <v>180.0</v>
      </c>
      <c r="G694" s="3">
        <v>220.0</v>
      </c>
      <c r="H694" s="4">
        <f t="shared" si="1"/>
        <v>4400</v>
      </c>
      <c r="I694" s="4">
        <f t="shared" si="2"/>
        <v>800</v>
      </c>
      <c r="J694" s="4">
        <f t="shared" si="3"/>
        <v>18.18181818</v>
      </c>
    </row>
    <row r="695" ht="15.75" customHeight="1">
      <c r="A695" s="4" t="s">
        <v>189</v>
      </c>
      <c r="B695" s="3" t="s">
        <v>14</v>
      </c>
      <c r="C695" s="3" t="s">
        <v>12</v>
      </c>
      <c r="D695" s="3">
        <v>40.0</v>
      </c>
      <c r="E695" s="3" t="s">
        <v>13</v>
      </c>
      <c r="F695" s="3">
        <v>300.0</v>
      </c>
      <c r="G695" s="3">
        <v>365.0</v>
      </c>
      <c r="H695" s="4">
        <f t="shared" si="1"/>
        <v>14600</v>
      </c>
      <c r="I695" s="4">
        <f t="shared" si="2"/>
        <v>2600</v>
      </c>
      <c r="J695" s="4">
        <f t="shared" si="3"/>
        <v>17.80821918</v>
      </c>
    </row>
    <row r="696" ht="15.75" customHeight="1">
      <c r="A696" s="4" t="s">
        <v>189</v>
      </c>
      <c r="B696" s="3" t="s">
        <v>85</v>
      </c>
      <c r="C696" s="3" t="s">
        <v>25</v>
      </c>
      <c r="D696" s="3">
        <v>92.0</v>
      </c>
      <c r="E696" s="3" t="s">
        <v>23</v>
      </c>
      <c r="F696" s="3">
        <v>55.0</v>
      </c>
      <c r="G696" s="3">
        <v>59.0</v>
      </c>
      <c r="H696" s="4">
        <f t="shared" si="1"/>
        <v>5428</v>
      </c>
      <c r="I696" s="4">
        <f t="shared" si="2"/>
        <v>368</v>
      </c>
      <c r="J696" s="4">
        <f t="shared" si="3"/>
        <v>6.779661017</v>
      </c>
    </row>
    <row r="697" ht="15.75" customHeight="1">
      <c r="A697" s="4" t="s">
        <v>189</v>
      </c>
      <c r="B697" s="3" t="s">
        <v>20</v>
      </c>
      <c r="C697" s="3" t="s">
        <v>18</v>
      </c>
      <c r="D697" s="3">
        <v>300.0</v>
      </c>
      <c r="E697" s="3" t="s">
        <v>19</v>
      </c>
      <c r="F697" s="3">
        <v>9.0</v>
      </c>
      <c r="G697" s="3">
        <v>10.0</v>
      </c>
      <c r="H697" s="4">
        <f t="shared" si="1"/>
        <v>3000</v>
      </c>
      <c r="I697" s="4">
        <f t="shared" si="2"/>
        <v>300</v>
      </c>
      <c r="J697" s="4">
        <f t="shared" si="3"/>
        <v>10</v>
      </c>
    </row>
    <row r="698" ht="15.75" customHeight="1">
      <c r="A698" s="4" t="s">
        <v>189</v>
      </c>
      <c r="B698" s="3" t="s">
        <v>30</v>
      </c>
      <c r="C698" s="3" t="s">
        <v>18</v>
      </c>
      <c r="D698" s="3">
        <v>150.0</v>
      </c>
      <c r="E698" s="3" t="s">
        <v>19</v>
      </c>
      <c r="F698" s="3">
        <v>8.0</v>
      </c>
      <c r="G698" s="3">
        <v>12.0</v>
      </c>
      <c r="H698" s="4">
        <f t="shared" si="1"/>
        <v>1800</v>
      </c>
      <c r="I698" s="4">
        <f t="shared" si="2"/>
        <v>600</v>
      </c>
      <c r="J698" s="4">
        <f t="shared" si="3"/>
        <v>33.33333333</v>
      </c>
    </row>
    <row r="699" ht="15.75" customHeight="1">
      <c r="A699" s="4" t="s">
        <v>190</v>
      </c>
      <c r="B699" s="3" t="s">
        <v>21</v>
      </c>
      <c r="C699" s="3" t="s">
        <v>22</v>
      </c>
      <c r="D699" s="3">
        <v>10.0</v>
      </c>
      <c r="E699" s="3" t="s">
        <v>23</v>
      </c>
      <c r="F699" s="3">
        <v>70.0</v>
      </c>
      <c r="G699" s="3">
        <v>76.0</v>
      </c>
      <c r="H699" s="4">
        <f t="shared" si="1"/>
        <v>760</v>
      </c>
      <c r="I699" s="4">
        <f t="shared" si="2"/>
        <v>60</v>
      </c>
      <c r="J699" s="4">
        <f t="shared" si="3"/>
        <v>7.894736842</v>
      </c>
    </row>
    <row r="700" ht="15.75" customHeight="1">
      <c r="A700" s="4" t="s">
        <v>190</v>
      </c>
      <c r="B700" s="3" t="s">
        <v>29</v>
      </c>
      <c r="C700" s="3" t="s">
        <v>29</v>
      </c>
      <c r="D700" s="3">
        <v>5.0</v>
      </c>
      <c r="E700" s="3" t="s">
        <v>27</v>
      </c>
      <c r="F700" s="3">
        <v>240.0</v>
      </c>
      <c r="G700" s="3">
        <v>280.0</v>
      </c>
      <c r="H700" s="4">
        <f t="shared" si="1"/>
        <v>1400</v>
      </c>
      <c r="I700" s="4">
        <f t="shared" si="2"/>
        <v>200</v>
      </c>
      <c r="J700" s="4">
        <f t="shared" si="3"/>
        <v>14.28571429</v>
      </c>
    </row>
    <row r="701" ht="15.75" customHeight="1">
      <c r="A701" s="4" t="s">
        <v>190</v>
      </c>
      <c r="B701" s="3" t="s">
        <v>15</v>
      </c>
      <c r="C701" s="3" t="s">
        <v>12</v>
      </c>
      <c r="D701" s="3">
        <v>5.0</v>
      </c>
      <c r="E701" s="3" t="s">
        <v>13</v>
      </c>
      <c r="F701" s="3">
        <v>270.0</v>
      </c>
      <c r="G701" s="3">
        <v>320.0</v>
      </c>
      <c r="H701" s="4">
        <f t="shared" si="1"/>
        <v>1600</v>
      </c>
      <c r="I701" s="4">
        <f t="shared" si="2"/>
        <v>250</v>
      </c>
      <c r="J701" s="4">
        <f t="shared" si="3"/>
        <v>15.625</v>
      </c>
    </row>
    <row r="702" ht="15.75" customHeight="1">
      <c r="A702" s="4" t="s">
        <v>190</v>
      </c>
      <c r="B702" s="3" t="s">
        <v>17</v>
      </c>
      <c r="C702" s="3" t="s">
        <v>18</v>
      </c>
      <c r="D702" s="3">
        <v>300.0</v>
      </c>
      <c r="E702" s="3" t="s">
        <v>19</v>
      </c>
      <c r="F702" s="3">
        <v>8.0</v>
      </c>
      <c r="G702" s="3">
        <v>12.0</v>
      </c>
      <c r="H702" s="4">
        <f t="shared" si="1"/>
        <v>3600</v>
      </c>
      <c r="I702" s="4">
        <f t="shared" si="2"/>
        <v>1200</v>
      </c>
      <c r="J702" s="4">
        <f t="shared" si="3"/>
        <v>33.33333333</v>
      </c>
    </row>
    <row r="703" ht="15.75" customHeight="1">
      <c r="A703" s="4" t="s">
        <v>191</v>
      </c>
      <c r="B703" s="3" t="s">
        <v>20</v>
      </c>
      <c r="C703" s="3" t="s">
        <v>18</v>
      </c>
      <c r="D703" s="3">
        <v>100.0</v>
      </c>
      <c r="E703" s="3" t="s">
        <v>19</v>
      </c>
      <c r="F703" s="3">
        <v>9.0</v>
      </c>
      <c r="G703" s="3">
        <v>10.0</v>
      </c>
      <c r="H703" s="4">
        <f t="shared" si="1"/>
        <v>1000</v>
      </c>
      <c r="I703" s="4">
        <f t="shared" si="2"/>
        <v>100</v>
      </c>
      <c r="J703" s="4">
        <f t="shared" si="3"/>
        <v>10</v>
      </c>
    </row>
    <row r="704" ht="15.75" customHeight="1">
      <c r="A704" s="4" t="s">
        <v>191</v>
      </c>
      <c r="B704" s="3" t="s">
        <v>21</v>
      </c>
      <c r="C704" s="3" t="s">
        <v>22</v>
      </c>
      <c r="D704" s="3">
        <v>10.0</v>
      </c>
      <c r="E704" s="3" t="s">
        <v>23</v>
      </c>
      <c r="F704" s="3">
        <v>70.0</v>
      </c>
      <c r="G704" s="3">
        <v>76.0</v>
      </c>
      <c r="H704" s="4">
        <f t="shared" si="1"/>
        <v>760</v>
      </c>
      <c r="I704" s="4">
        <f t="shared" si="2"/>
        <v>60</v>
      </c>
      <c r="J704" s="4">
        <f t="shared" si="3"/>
        <v>7.894736842</v>
      </c>
    </row>
    <row r="705" ht="15.75" customHeight="1">
      <c r="A705" s="4" t="s">
        <v>192</v>
      </c>
      <c r="B705" s="3" t="s">
        <v>11</v>
      </c>
      <c r="C705" s="3" t="s">
        <v>12</v>
      </c>
      <c r="D705" s="3">
        <v>50.0</v>
      </c>
      <c r="E705" s="3" t="s">
        <v>13</v>
      </c>
      <c r="F705" s="3">
        <v>260.0</v>
      </c>
      <c r="G705" s="3">
        <v>320.0</v>
      </c>
      <c r="H705" s="4">
        <f t="shared" si="1"/>
        <v>16000</v>
      </c>
      <c r="I705" s="4">
        <f t="shared" si="2"/>
        <v>3000</v>
      </c>
      <c r="J705" s="4">
        <f t="shared" si="3"/>
        <v>18.75</v>
      </c>
    </row>
    <row r="706" ht="15.75" customHeight="1">
      <c r="A706" s="4" t="s">
        <v>192</v>
      </c>
      <c r="B706" s="3" t="s">
        <v>15</v>
      </c>
      <c r="C706" s="3" t="s">
        <v>12</v>
      </c>
      <c r="D706" s="3">
        <v>10.0</v>
      </c>
      <c r="E706" s="3" t="s">
        <v>13</v>
      </c>
      <c r="F706" s="3">
        <v>270.0</v>
      </c>
      <c r="G706" s="3">
        <v>320.0</v>
      </c>
      <c r="H706" s="4">
        <f t="shared" si="1"/>
        <v>3200</v>
      </c>
      <c r="I706" s="4">
        <f t="shared" si="2"/>
        <v>500</v>
      </c>
      <c r="J706" s="4">
        <f t="shared" si="3"/>
        <v>15.625</v>
      </c>
    </row>
    <row r="707" ht="15.75" customHeight="1">
      <c r="A707" s="4" t="s">
        <v>192</v>
      </c>
      <c r="B707" s="3" t="s">
        <v>32</v>
      </c>
      <c r="C707" s="3" t="s">
        <v>25</v>
      </c>
      <c r="D707" s="3">
        <v>153.0</v>
      </c>
      <c r="E707" s="3" t="s">
        <v>23</v>
      </c>
      <c r="F707" s="3">
        <v>52.0</v>
      </c>
      <c r="G707" s="3">
        <v>55.0</v>
      </c>
      <c r="H707" s="4">
        <f t="shared" si="1"/>
        <v>8415</v>
      </c>
      <c r="I707" s="4">
        <f t="shared" si="2"/>
        <v>459</v>
      </c>
      <c r="J707" s="4">
        <f t="shared" si="3"/>
        <v>5.454545455</v>
      </c>
    </row>
    <row r="708" ht="15.75" customHeight="1">
      <c r="A708" s="4" t="s">
        <v>193</v>
      </c>
      <c r="B708" s="3" t="s">
        <v>29</v>
      </c>
      <c r="C708" s="3" t="s">
        <v>29</v>
      </c>
      <c r="D708" s="3">
        <v>20.0</v>
      </c>
      <c r="E708" s="3" t="s">
        <v>27</v>
      </c>
      <c r="F708" s="3">
        <v>240.0</v>
      </c>
      <c r="G708" s="3">
        <v>280.0</v>
      </c>
      <c r="H708" s="4">
        <f t="shared" si="1"/>
        <v>5600</v>
      </c>
      <c r="I708" s="4">
        <f t="shared" si="2"/>
        <v>800</v>
      </c>
      <c r="J708" s="4">
        <f t="shared" si="3"/>
        <v>14.28571429</v>
      </c>
    </row>
    <row r="709" ht="15.75" customHeight="1">
      <c r="A709" s="4" t="s">
        <v>193</v>
      </c>
      <c r="B709" s="3" t="s">
        <v>26</v>
      </c>
      <c r="C709" s="3" t="s">
        <v>26</v>
      </c>
      <c r="D709" s="3">
        <v>5.0</v>
      </c>
      <c r="E709" s="3" t="s">
        <v>27</v>
      </c>
      <c r="F709" s="3">
        <v>180.0</v>
      </c>
      <c r="G709" s="3">
        <v>220.0</v>
      </c>
      <c r="H709" s="4">
        <f t="shared" si="1"/>
        <v>1100</v>
      </c>
      <c r="I709" s="4">
        <f t="shared" si="2"/>
        <v>200</v>
      </c>
      <c r="J709" s="4">
        <f t="shared" si="3"/>
        <v>18.18181818</v>
      </c>
    </row>
    <row r="710" ht="15.75" customHeight="1">
      <c r="A710" s="4" t="s">
        <v>193</v>
      </c>
      <c r="B710" s="3" t="s">
        <v>24</v>
      </c>
      <c r="C710" s="3" t="s">
        <v>25</v>
      </c>
      <c r="D710" s="3">
        <v>142.0</v>
      </c>
      <c r="E710" s="3" t="s">
        <v>23</v>
      </c>
      <c r="F710" s="3">
        <v>52.0</v>
      </c>
      <c r="G710" s="3">
        <v>55.0</v>
      </c>
      <c r="H710" s="4">
        <f t="shared" si="1"/>
        <v>7810</v>
      </c>
      <c r="I710" s="4">
        <f t="shared" si="2"/>
        <v>426</v>
      </c>
      <c r="J710" s="4">
        <f t="shared" si="3"/>
        <v>5.454545455</v>
      </c>
    </row>
    <row r="711" ht="15.75" customHeight="1">
      <c r="A711" s="4" t="s">
        <v>194</v>
      </c>
      <c r="B711" s="3" t="s">
        <v>14</v>
      </c>
      <c r="C711" s="3" t="s">
        <v>12</v>
      </c>
      <c r="D711" s="3">
        <v>30.0</v>
      </c>
      <c r="E711" s="3" t="s">
        <v>13</v>
      </c>
      <c r="F711" s="3">
        <v>300.0</v>
      </c>
      <c r="G711" s="3">
        <v>365.0</v>
      </c>
      <c r="H711" s="4">
        <f t="shared" si="1"/>
        <v>10950</v>
      </c>
      <c r="I711" s="4">
        <f t="shared" si="2"/>
        <v>1950</v>
      </c>
      <c r="J711" s="4">
        <f t="shared" si="3"/>
        <v>17.80821918</v>
      </c>
    </row>
    <row r="712" ht="15.75" customHeight="1">
      <c r="A712" s="4" t="s">
        <v>194</v>
      </c>
      <c r="B712" s="3" t="s">
        <v>20</v>
      </c>
      <c r="C712" s="3" t="s">
        <v>18</v>
      </c>
      <c r="D712" s="3">
        <v>100.0</v>
      </c>
      <c r="E712" s="3" t="s">
        <v>19</v>
      </c>
      <c r="F712" s="3">
        <v>9.0</v>
      </c>
      <c r="G712" s="3">
        <v>10.0</v>
      </c>
      <c r="H712" s="4">
        <f t="shared" si="1"/>
        <v>1000</v>
      </c>
      <c r="I712" s="4">
        <f t="shared" si="2"/>
        <v>100</v>
      </c>
      <c r="J712" s="4">
        <f t="shared" si="3"/>
        <v>10</v>
      </c>
    </row>
    <row r="713" ht="15.75" customHeight="1">
      <c r="A713" s="4" t="s">
        <v>194</v>
      </c>
      <c r="B713" s="3" t="s">
        <v>11</v>
      </c>
      <c r="C713" s="3" t="s">
        <v>12</v>
      </c>
      <c r="D713" s="3">
        <v>12.0</v>
      </c>
      <c r="E713" s="3" t="s">
        <v>13</v>
      </c>
      <c r="F713" s="3">
        <v>260.0</v>
      </c>
      <c r="G713" s="3">
        <v>320.0</v>
      </c>
      <c r="H713" s="4">
        <f t="shared" si="1"/>
        <v>3840</v>
      </c>
      <c r="I713" s="4">
        <f t="shared" si="2"/>
        <v>720</v>
      </c>
      <c r="J713" s="4">
        <f t="shared" si="3"/>
        <v>18.75</v>
      </c>
    </row>
    <row r="714" ht="15.75" customHeight="1">
      <c r="A714" s="4" t="s">
        <v>194</v>
      </c>
      <c r="B714" s="3" t="s">
        <v>26</v>
      </c>
      <c r="C714" s="3" t="s">
        <v>26</v>
      </c>
      <c r="D714" s="3">
        <v>6.0</v>
      </c>
      <c r="E714" s="3" t="s">
        <v>27</v>
      </c>
      <c r="F714" s="3">
        <v>180.0</v>
      </c>
      <c r="G714" s="3">
        <v>220.0</v>
      </c>
      <c r="H714" s="4">
        <f t="shared" si="1"/>
        <v>1320</v>
      </c>
      <c r="I714" s="4">
        <f t="shared" si="2"/>
        <v>240</v>
      </c>
      <c r="J714" s="4">
        <f t="shared" si="3"/>
        <v>18.18181818</v>
      </c>
    </row>
    <row r="715" ht="15.75" customHeight="1">
      <c r="A715" s="4" t="s">
        <v>195</v>
      </c>
      <c r="B715" s="3" t="s">
        <v>40</v>
      </c>
      <c r="C715" s="3" t="s">
        <v>12</v>
      </c>
      <c r="D715" s="3">
        <v>45.0</v>
      </c>
      <c r="E715" s="3" t="s">
        <v>13</v>
      </c>
      <c r="F715" s="3">
        <v>360.0</v>
      </c>
      <c r="G715" s="3">
        <v>420.0</v>
      </c>
      <c r="H715" s="4">
        <f t="shared" si="1"/>
        <v>18900</v>
      </c>
      <c r="I715" s="4">
        <f t="shared" si="2"/>
        <v>2700</v>
      </c>
      <c r="J715" s="4">
        <f t="shared" si="3"/>
        <v>14.28571429</v>
      </c>
    </row>
    <row r="716" ht="15.75" customHeight="1">
      <c r="A716" s="4" t="s">
        <v>196</v>
      </c>
      <c r="B716" s="3" t="s">
        <v>15</v>
      </c>
      <c r="C716" s="3" t="s">
        <v>12</v>
      </c>
      <c r="D716" s="3">
        <v>60.0</v>
      </c>
      <c r="E716" s="3" t="s">
        <v>13</v>
      </c>
      <c r="F716" s="3">
        <v>270.0</v>
      </c>
      <c r="G716" s="3">
        <v>320.0</v>
      </c>
      <c r="H716" s="4">
        <f t="shared" si="1"/>
        <v>19200</v>
      </c>
      <c r="I716" s="4">
        <f t="shared" si="2"/>
        <v>3000</v>
      </c>
      <c r="J716" s="4">
        <f t="shared" si="3"/>
        <v>15.625</v>
      </c>
    </row>
    <row r="717" ht="15.75" customHeight="1">
      <c r="A717" s="4" t="s">
        <v>196</v>
      </c>
      <c r="B717" s="3" t="s">
        <v>42</v>
      </c>
      <c r="C717" s="3" t="s">
        <v>43</v>
      </c>
      <c r="D717" s="3">
        <v>5.0</v>
      </c>
      <c r="E717" s="3" t="s">
        <v>19</v>
      </c>
      <c r="F717" s="3">
        <v>360.0</v>
      </c>
      <c r="G717" s="3">
        <v>400.0</v>
      </c>
      <c r="H717" s="4">
        <f t="shared" si="1"/>
        <v>2000</v>
      </c>
      <c r="I717" s="4">
        <f t="shared" si="2"/>
        <v>200</v>
      </c>
      <c r="J717" s="4">
        <f t="shared" si="3"/>
        <v>10</v>
      </c>
    </row>
    <row r="718" ht="15.75" customHeight="1">
      <c r="A718" s="4" t="s">
        <v>196</v>
      </c>
      <c r="B718" s="3" t="s">
        <v>17</v>
      </c>
      <c r="C718" s="3" t="s">
        <v>18</v>
      </c>
      <c r="D718" s="3">
        <v>250.0</v>
      </c>
      <c r="E718" s="3" t="s">
        <v>19</v>
      </c>
      <c r="F718" s="3">
        <v>8.0</v>
      </c>
      <c r="G718" s="3">
        <v>12.0</v>
      </c>
      <c r="H718" s="4">
        <f t="shared" si="1"/>
        <v>3000</v>
      </c>
      <c r="I718" s="4">
        <f t="shared" si="2"/>
        <v>1000</v>
      </c>
      <c r="J718" s="4">
        <f t="shared" si="3"/>
        <v>33.33333333</v>
      </c>
    </row>
    <row r="719" ht="15.75" customHeight="1">
      <c r="A719" s="4" t="s">
        <v>197</v>
      </c>
      <c r="B719" s="3" t="s">
        <v>40</v>
      </c>
      <c r="C719" s="3" t="s">
        <v>12</v>
      </c>
      <c r="D719" s="3">
        <v>25.0</v>
      </c>
      <c r="E719" s="3" t="s">
        <v>13</v>
      </c>
      <c r="F719" s="3">
        <v>360.0</v>
      </c>
      <c r="G719" s="3">
        <v>420.0</v>
      </c>
      <c r="H719" s="4">
        <f t="shared" si="1"/>
        <v>10500</v>
      </c>
      <c r="I719" s="4">
        <f t="shared" si="2"/>
        <v>1500</v>
      </c>
      <c r="J719" s="4">
        <f t="shared" si="3"/>
        <v>14.28571429</v>
      </c>
    </row>
    <row r="720" ht="15.75" customHeight="1">
      <c r="A720" s="4" t="s">
        <v>197</v>
      </c>
      <c r="B720" s="3" t="s">
        <v>30</v>
      </c>
      <c r="C720" s="3" t="s">
        <v>18</v>
      </c>
      <c r="D720" s="3">
        <v>100.0</v>
      </c>
      <c r="E720" s="3" t="s">
        <v>19</v>
      </c>
      <c r="F720" s="3">
        <v>8.0</v>
      </c>
      <c r="G720" s="3">
        <v>12.0</v>
      </c>
      <c r="H720" s="4">
        <f t="shared" si="1"/>
        <v>1200</v>
      </c>
      <c r="I720" s="4">
        <f t="shared" si="2"/>
        <v>400</v>
      </c>
      <c r="J720" s="4">
        <f t="shared" si="3"/>
        <v>33.33333333</v>
      </c>
    </row>
    <row r="721" ht="15.75" customHeight="1">
      <c r="A721" s="4" t="s">
        <v>197</v>
      </c>
      <c r="B721" s="3" t="s">
        <v>32</v>
      </c>
      <c r="C721" s="3" t="s">
        <v>25</v>
      </c>
      <c r="D721" s="3">
        <v>102.0</v>
      </c>
      <c r="E721" s="3" t="s">
        <v>23</v>
      </c>
      <c r="F721" s="3">
        <v>52.0</v>
      </c>
      <c r="G721" s="3">
        <v>55.0</v>
      </c>
      <c r="H721" s="4">
        <f t="shared" si="1"/>
        <v>5610</v>
      </c>
      <c r="I721" s="4">
        <f t="shared" si="2"/>
        <v>306</v>
      </c>
      <c r="J721" s="4">
        <f t="shared" si="3"/>
        <v>5.454545455</v>
      </c>
    </row>
    <row r="722" ht="15.75" customHeight="1">
      <c r="A722" s="13"/>
      <c r="B722" s="3"/>
      <c r="C722" s="3"/>
      <c r="D722" s="3"/>
      <c r="E722" s="3"/>
      <c r="F722" s="3"/>
      <c r="G722" s="3"/>
      <c r="H722" s="4"/>
      <c r="I722" s="4"/>
    </row>
    <row r="723" ht="15.75" customHeight="1">
      <c r="A723" s="13"/>
      <c r="B723" s="3"/>
      <c r="C723" s="3"/>
      <c r="D723" s="3"/>
      <c r="E723" s="3"/>
      <c r="F723" s="3"/>
      <c r="G723" s="3"/>
      <c r="H723" s="4"/>
      <c r="I723" s="4"/>
    </row>
    <row r="724" ht="15.75" customHeight="1">
      <c r="A724" s="13"/>
      <c r="B724" s="3"/>
      <c r="C724" s="3"/>
      <c r="D724" s="3"/>
      <c r="E724" s="3"/>
      <c r="F724" s="3"/>
      <c r="G724" s="3"/>
      <c r="H724" s="4"/>
      <c r="I724" s="4"/>
    </row>
    <row r="725" ht="15.75" customHeight="1">
      <c r="A725" s="13"/>
      <c r="B725" s="3"/>
      <c r="C725" s="3"/>
      <c r="D725" s="3"/>
      <c r="E725" s="3"/>
      <c r="F725" s="3"/>
      <c r="G725" s="3"/>
      <c r="H725" s="4"/>
      <c r="I725" s="4"/>
    </row>
    <row r="726" ht="15.75" customHeight="1">
      <c r="A726" s="13"/>
      <c r="B726" s="3"/>
      <c r="C726" s="3"/>
      <c r="D726" s="3"/>
      <c r="E726" s="3"/>
      <c r="F726" s="3"/>
      <c r="G726" s="3"/>
      <c r="H726" s="4"/>
      <c r="I726" s="4"/>
    </row>
    <row r="727" ht="15.75" customHeight="1">
      <c r="A727" s="13"/>
      <c r="B727" s="3"/>
      <c r="C727" s="3"/>
      <c r="D727" s="3"/>
      <c r="E727" s="3"/>
      <c r="F727" s="3"/>
      <c r="G727" s="3"/>
      <c r="H727" s="4"/>
      <c r="I727" s="4"/>
    </row>
    <row r="728" ht="15.75" customHeight="1">
      <c r="A728" s="13"/>
      <c r="B728" s="3"/>
      <c r="C728" s="3"/>
      <c r="D728" s="3"/>
      <c r="E728" s="3"/>
      <c r="F728" s="3"/>
      <c r="G728" s="3"/>
      <c r="H728" s="4"/>
      <c r="I728" s="4"/>
    </row>
    <row r="729" ht="15.75" customHeight="1">
      <c r="A729" s="13"/>
      <c r="B729" s="3"/>
      <c r="C729" s="3"/>
      <c r="D729" s="3"/>
      <c r="E729" s="3"/>
      <c r="F729" s="3"/>
      <c r="G729" s="3"/>
      <c r="H729" s="4"/>
      <c r="I729" s="4"/>
    </row>
    <row r="730" ht="15.75" customHeight="1">
      <c r="A730" s="13"/>
      <c r="B730" s="3"/>
      <c r="C730" s="3"/>
      <c r="D730" s="3"/>
      <c r="E730" s="3"/>
      <c r="F730" s="3"/>
      <c r="G730" s="3"/>
      <c r="H730" s="4"/>
      <c r="I730" s="4"/>
    </row>
    <row r="731" ht="15.75" customHeight="1">
      <c r="A731" s="13"/>
      <c r="B731" s="3"/>
      <c r="C731" s="3"/>
      <c r="D731" s="3"/>
      <c r="E731" s="3"/>
      <c r="F731" s="3"/>
      <c r="G731" s="3"/>
      <c r="H731" s="4"/>
      <c r="I731" s="4"/>
    </row>
    <row r="732" ht="15.75" customHeight="1">
      <c r="A732" s="13"/>
      <c r="B732" s="3"/>
      <c r="C732" s="3"/>
      <c r="D732" s="3"/>
      <c r="E732" s="3"/>
      <c r="F732" s="3"/>
      <c r="G732" s="3"/>
      <c r="H732" s="4"/>
      <c r="I732" s="4"/>
    </row>
    <row r="733" ht="15.75" customHeight="1">
      <c r="A733" s="12"/>
      <c r="B733" s="3"/>
      <c r="C733" s="3"/>
      <c r="D733" s="3"/>
      <c r="E733" s="3"/>
      <c r="F733" s="3"/>
      <c r="G733" s="3"/>
      <c r="H733" s="4"/>
      <c r="I733" s="4"/>
    </row>
    <row r="734" ht="15.75" customHeight="1">
      <c r="A734" s="12"/>
      <c r="B734" s="3"/>
      <c r="C734" s="3"/>
      <c r="D734" s="3"/>
      <c r="E734" s="3"/>
      <c r="F734" s="3"/>
      <c r="G734" s="3"/>
      <c r="H734" s="4"/>
      <c r="I734" s="4"/>
    </row>
    <row r="735" ht="15.75" customHeight="1">
      <c r="A735" s="12"/>
      <c r="B735" s="3"/>
      <c r="C735" s="3"/>
      <c r="D735" s="3"/>
      <c r="E735" s="3"/>
      <c r="F735" s="3"/>
      <c r="G735" s="3"/>
      <c r="H735" s="4"/>
      <c r="I735" s="4"/>
    </row>
    <row r="736" ht="15.75" customHeight="1">
      <c r="A736" s="12"/>
      <c r="B736" s="3"/>
      <c r="C736" s="3"/>
      <c r="D736" s="3"/>
      <c r="E736" s="3"/>
      <c r="F736" s="3"/>
      <c r="G736" s="3"/>
      <c r="H736" s="4"/>
      <c r="I736" s="4"/>
    </row>
    <row r="737" ht="15.75" customHeight="1">
      <c r="A737" s="12"/>
      <c r="B737" s="3"/>
      <c r="C737" s="3"/>
      <c r="D737" s="3"/>
      <c r="E737" s="3"/>
      <c r="F737" s="3"/>
      <c r="G737" s="3"/>
      <c r="H737" s="4"/>
      <c r="I737" s="4"/>
    </row>
    <row r="738" ht="15.75" customHeight="1">
      <c r="A738" s="12"/>
      <c r="B738" s="3"/>
      <c r="C738" s="3"/>
      <c r="D738" s="3"/>
      <c r="E738" s="3"/>
      <c r="F738" s="3"/>
      <c r="G738" s="3"/>
      <c r="H738" s="4"/>
      <c r="I738" s="4"/>
    </row>
    <row r="739" ht="15.75" customHeight="1">
      <c r="A739" s="12"/>
      <c r="B739" s="3"/>
      <c r="C739" s="3"/>
      <c r="D739" s="3"/>
      <c r="E739" s="3"/>
      <c r="F739" s="3"/>
      <c r="G739" s="3"/>
      <c r="H739" s="4"/>
      <c r="I739" s="4"/>
    </row>
    <row r="740" ht="15.75" customHeight="1">
      <c r="A740" s="12"/>
      <c r="B740" s="3"/>
      <c r="C740" s="3"/>
      <c r="D740" s="3"/>
      <c r="E740" s="3"/>
      <c r="F740" s="3"/>
      <c r="G740" s="3"/>
      <c r="H740" s="4"/>
      <c r="I740" s="4"/>
    </row>
    <row r="741" ht="15.75" customHeight="1">
      <c r="A741" s="12"/>
      <c r="B741" s="3"/>
      <c r="C741" s="3"/>
      <c r="D741" s="3"/>
      <c r="E741" s="3"/>
      <c r="F741" s="3"/>
      <c r="G741" s="3"/>
      <c r="H741" s="4"/>
      <c r="I741" s="4"/>
    </row>
    <row r="742" ht="15.75" customHeight="1">
      <c r="A742" s="12"/>
      <c r="B742" s="3"/>
      <c r="C742" s="3"/>
      <c r="D742" s="3"/>
      <c r="E742" s="3"/>
      <c r="F742" s="3"/>
      <c r="G742" s="3"/>
      <c r="H742" s="4"/>
      <c r="I742" s="4"/>
    </row>
    <row r="743" ht="15.75" customHeight="1">
      <c r="A743" s="12"/>
      <c r="B743" s="3"/>
      <c r="C743" s="3"/>
      <c r="D743" s="3"/>
      <c r="E743" s="3"/>
      <c r="F743" s="3"/>
      <c r="G743" s="3"/>
      <c r="H743" s="4"/>
      <c r="I743" s="4"/>
    </row>
    <row r="744" ht="15.75" customHeight="1">
      <c r="A744" s="12"/>
      <c r="B744" s="3"/>
      <c r="C744" s="3"/>
      <c r="D744" s="3"/>
      <c r="E744" s="3"/>
      <c r="F744" s="3"/>
      <c r="G744" s="3"/>
      <c r="H744" s="4"/>
      <c r="I744" s="4"/>
    </row>
    <row r="745" ht="15.75" customHeight="1">
      <c r="A745" s="12"/>
      <c r="B745" s="3"/>
      <c r="C745" s="3"/>
      <c r="D745" s="3"/>
      <c r="E745" s="3"/>
      <c r="F745" s="3"/>
      <c r="G745" s="3"/>
      <c r="H745" s="4"/>
      <c r="I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2.63"/>
  </cols>
  <sheetData>
    <row r="1">
      <c r="A1" s="14"/>
      <c r="B1" s="15"/>
      <c r="C1" s="16" t="s">
        <v>198</v>
      </c>
      <c r="D1" s="17"/>
      <c r="E1" s="17"/>
      <c r="F1" s="17"/>
      <c r="G1" s="18"/>
      <c r="H1" s="19" t="s">
        <v>199</v>
      </c>
      <c r="I1" s="17"/>
      <c r="J1" s="18"/>
      <c r="K1" s="20" t="s">
        <v>200</v>
      </c>
      <c r="L1" s="17"/>
      <c r="M1" s="18"/>
      <c r="N1" s="21" t="s">
        <v>201</v>
      </c>
      <c r="O1" s="22" t="s">
        <v>202</v>
      </c>
      <c r="P1" s="23" t="s">
        <v>203</v>
      </c>
      <c r="Q1" s="24" t="s">
        <v>204</v>
      </c>
      <c r="R1" s="25"/>
      <c r="S1" s="26"/>
    </row>
    <row r="2">
      <c r="A2" s="27" t="s">
        <v>0</v>
      </c>
      <c r="B2" s="28" t="s">
        <v>205</v>
      </c>
      <c r="C2" s="29" t="s">
        <v>14</v>
      </c>
      <c r="D2" s="30" t="s">
        <v>206</v>
      </c>
      <c r="E2" s="29" t="s">
        <v>11</v>
      </c>
      <c r="F2" s="29" t="s">
        <v>15</v>
      </c>
      <c r="G2" s="29" t="s">
        <v>40</v>
      </c>
      <c r="H2" s="31" t="s">
        <v>85</v>
      </c>
      <c r="I2" s="31" t="s">
        <v>24</v>
      </c>
      <c r="J2" s="31" t="s">
        <v>32</v>
      </c>
      <c r="K2" s="32" t="s">
        <v>17</v>
      </c>
      <c r="L2" s="32" t="s">
        <v>20</v>
      </c>
      <c r="M2" s="32" t="s">
        <v>30</v>
      </c>
      <c r="N2" s="33" t="s">
        <v>29</v>
      </c>
      <c r="O2" s="34" t="s">
        <v>26</v>
      </c>
      <c r="P2" s="35" t="s">
        <v>21</v>
      </c>
      <c r="Q2" s="36" t="s">
        <v>42</v>
      </c>
      <c r="R2" s="37" t="s">
        <v>207</v>
      </c>
      <c r="S2" s="26"/>
    </row>
    <row r="3">
      <c r="A3" s="38" t="s">
        <v>10</v>
      </c>
      <c r="B3" s="38" t="s">
        <v>208</v>
      </c>
      <c r="C3" s="39">
        <v>20.0</v>
      </c>
      <c r="D3" s="39">
        <f t="shared" ref="D3:D186" si="1">STANDARDIZE(C3, 6.15, 15.41)</f>
        <v>0.8987670344</v>
      </c>
      <c r="E3" s="39">
        <v>10.0</v>
      </c>
      <c r="F3" s="39">
        <v>5.0</v>
      </c>
      <c r="G3" s="39">
        <v>0.0</v>
      </c>
      <c r="H3" s="39">
        <v>0.0</v>
      </c>
      <c r="I3" s="39">
        <v>0.0</v>
      </c>
      <c r="J3" s="39">
        <v>0.0</v>
      </c>
      <c r="K3" s="39">
        <v>0.0</v>
      </c>
      <c r="L3" s="39">
        <v>0.0</v>
      </c>
      <c r="M3" s="39">
        <v>0.0</v>
      </c>
      <c r="N3" s="39">
        <v>0.0</v>
      </c>
      <c r="O3" s="39">
        <v>0.0</v>
      </c>
      <c r="P3" s="39">
        <v>0.0</v>
      </c>
      <c r="Q3" s="39">
        <v>0.0</v>
      </c>
      <c r="R3" s="38">
        <v>35.0</v>
      </c>
      <c r="S3" s="26"/>
    </row>
    <row r="4">
      <c r="A4" s="38" t="s">
        <v>16</v>
      </c>
      <c r="B4" s="38" t="s">
        <v>208</v>
      </c>
      <c r="C4" s="38">
        <v>10.0</v>
      </c>
      <c r="D4" s="39">
        <f t="shared" si="1"/>
        <v>0.2498377677</v>
      </c>
      <c r="E4" s="38">
        <v>50.0</v>
      </c>
      <c r="F4" s="38">
        <v>0.0</v>
      </c>
      <c r="G4" s="38">
        <v>0.0</v>
      </c>
      <c r="H4" s="38">
        <v>0.0</v>
      </c>
      <c r="I4" s="38">
        <v>71.0</v>
      </c>
      <c r="J4" s="38">
        <v>0.0</v>
      </c>
      <c r="K4" s="38">
        <v>100.0</v>
      </c>
      <c r="L4" s="38">
        <v>150.0</v>
      </c>
      <c r="M4" s="38">
        <v>0.0</v>
      </c>
      <c r="N4" s="38">
        <v>0.0</v>
      </c>
      <c r="O4" s="38">
        <v>5.0</v>
      </c>
      <c r="P4" s="38">
        <v>5.0</v>
      </c>
      <c r="Q4" s="38">
        <v>0.0</v>
      </c>
      <c r="R4" s="38">
        <v>391.0</v>
      </c>
      <c r="S4" s="26"/>
    </row>
    <row r="5">
      <c r="A5" s="38" t="s">
        <v>28</v>
      </c>
      <c r="B5" s="38" t="s">
        <v>208</v>
      </c>
      <c r="C5" s="38">
        <v>0.0</v>
      </c>
      <c r="D5" s="39">
        <f t="shared" si="1"/>
        <v>-0.399091499</v>
      </c>
      <c r="E5" s="38">
        <v>0.0</v>
      </c>
      <c r="F5" s="38">
        <v>20.0</v>
      </c>
      <c r="G5" s="38">
        <v>0.0</v>
      </c>
      <c r="H5" s="38">
        <v>0.0</v>
      </c>
      <c r="I5" s="38">
        <v>0.0</v>
      </c>
      <c r="J5" s="38">
        <v>0.0</v>
      </c>
      <c r="K5" s="38">
        <v>200.0</v>
      </c>
      <c r="L5" s="38">
        <v>0.0</v>
      </c>
      <c r="M5" s="38">
        <v>320.0</v>
      </c>
      <c r="N5" s="38">
        <v>2.0</v>
      </c>
      <c r="O5" s="38">
        <v>0.0</v>
      </c>
      <c r="P5" s="38">
        <v>0.0</v>
      </c>
      <c r="Q5" s="38">
        <v>0.0</v>
      </c>
      <c r="R5" s="38">
        <v>542.0</v>
      </c>
      <c r="S5" s="26"/>
    </row>
    <row r="6">
      <c r="A6" s="38" t="s">
        <v>31</v>
      </c>
      <c r="B6" s="38" t="s">
        <v>208</v>
      </c>
      <c r="C6" s="38">
        <v>30.0</v>
      </c>
      <c r="D6" s="39">
        <f t="shared" si="1"/>
        <v>1.547696301</v>
      </c>
      <c r="E6" s="38">
        <v>15.0</v>
      </c>
      <c r="F6" s="38">
        <v>5.0</v>
      </c>
      <c r="G6" s="38">
        <v>0.0</v>
      </c>
      <c r="H6" s="38">
        <v>0.0</v>
      </c>
      <c r="I6" s="38">
        <v>0.0</v>
      </c>
      <c r="J6" s="38">
        <v>102.0</v>
      </c>
      <c r="K6" s="38">
        <v>0.0</v>
      </c>
      <c r="L6" s="38">
        <v>0.0</v>
      </c>
      <c r="M6" s="38">
        <v>0.0</v>
      </c>
      <c r="N6" s="38">
        <v>5.0</v>
      </c>
      <c r="O6" s="38">
        <v>10.0</v>
      </c>
      <c r="P6" s="38">
        <v>0.0</v>
      </c>
      <c r="Q6" s="38">
        <v>0.0</v>
      </c>
      <c r="R6" s="38">
        <v>167.0</v>
      </c>
      <c r="S6" s="26"/>
    </row>
    <row r="7">
      <c r="A7" s="38" t="s">
        <v>33</v>
      </c>
      <c r="B7" s="38" t="s">
        <v>208</v>
      </c>
      <c r="C7" s="38">
        <v>0.0</v>
      </c>
      <c r="D7" s="39">
        <f t="shared" si="1"/>
        <v>-0.399091499</v>
      </c>
      <c r="E7" s="38">
        <v>0.0</v>
      </c>
      <c r="F7" s="38">
        <v>1.0</v>
      </c>
      <c r="G7" s="38">
        <v>0.0</v>
      </c>
      <c r="H7" s="38">
        <v>0.0</v>
      </c>
      <c r="I7" s="38">
        <v>142.0</v>
      </c>
      <c r="J7" s="38">
        <v>51.0</v>
      </c>
      <c r="K7" s="38">
        <v>50.0</v>
      </c>
      <c r="L7" s="38">
        <v>0.0</v>
      </c>
      <c r="M7" s="38">
        <v>0.0</v>
      </c>
      <c r="N7" s="38">
        <v>5.0</v>
      </c>
      <c r="O7" s="38">
        <v>0.0</v>
      </c>
      <c r="P7" s="38">
        <v>0.0</v>
      </c>
      <c r="Q7" s="38">
        <v>0.0</v>
      </c>
      <c r="R7" s="38">
        <v>249.0</v>
      </c>
      <c r="S7" s="26"/>
    </row>
    <row r="8">
      <c r="A8" s="38" t="s">
        <v>34</v>
      </c>
      <c r="B8" s="38" t="s">
        <v>208</v>
      </c>
      <c r="C8" s="38">
        <v>0.0</v>
      </c>
      <c r="D8" s="39">
        <f t="shared" si="1"/>
        <v>-0.399091499</v>
      </c>
      <c r="E8" s="38">
        <v>10.0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50.0</v>
      </c>
      <c r="L8" s="38">
        <v>0.0</v>
      </c>
      <c r="M8" s="38">
        <v>0.0</v>
      </c>
      <c r="N8" s="38">
        <v>0.0</v>
      </c>
      <c r="O8" s="38">
        <v>2.0</v>
      </c>
      <c r="P8" s="38">
        <v>0.0</v>
      </c>
      <c r="Q8" s="38">
        <v>0.0</v>
      </c>
      <c r="R8" s="38">
        <v>62.0</v>
      </c>
      <c r="S8" s="26"/>
    </row>
    <row r="9">
      <c r="A9" s="38" t="s">
        <v>35</v>
      </c>
      <c r="B9" s="38" t="s">
        <v>208</v>
      </c>
      <c r="C9" s="38">
        <v>0.0</v>
      </c>
      <c r="D9" s="39">
        <f t="shared" si="1"/>
        <v>-0.399091499</v>
      </c>
      <c r="E9" s="38">
        <v>20.0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150.0</v>
      </c>
      <c r="L9" s="38">
        <v>125.0</v>
      </c>
      <c r="M9" s="38">
        <v>60.0</v>
      </c>
      <c r="N9" s="38">
        <v>0.0</v>
      </c>
      <c r="O9" s="38">
        <v>0.0</v>
      </c>
      <c r="P9" s="38">
        <v>10.0</v>
      </c>
      <c r="Q9" s="38">
        <v>0.0</v>
      </c>
      <c r="R9" s="38">
        <v>365.0</v>
      </c>
      <c r="S9" s="26"/>
    </row>
    <row r="10">
      <c r="A10" s="38" t="s">
        <v>36</v>
      </c>
      <c r="B10" s="38" t="s">
        <v>208</v>
      </c>
      <c r="C10" s="38">
        <v>0.0</v>
      </c>
      <c r="D10" s="39">
        <f t="shared" si="1"/>
        <v>-0.399091499</v>
      </c>
      <c r="E10" s="38">
        <v>0.0</v>
      </c>
      <c r="F10" s="38">
        <v>5.0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25.0</v>
      </c>
      <c r="M10" s="38">
        <v>0.0</v>
      </c>
      <c r="N10" s="38">
        <v>4.0</v>
      </c>
      <c r="O10" s="38">
        <v>2.0</v>
      </c>
      <c r="P10" s="38">
        <v>0.0</v>
      </c>
      <c r="Q10" s="38">
        <v>0.0</v>
      </c>
      <c r="R10" s="38">
        <v>36.0</v>
      </c>
      <c r="S10" s="26"/>
    </row>
    <row r="11">
      <c r="A11" s="38" t="s">
        <v>37</v>
      </c>
      <c r="B11" s="38" t="s">
        <v>208</v>
      </c>
      <c r="C11" s="38">
        <v>0.0</v>
      </c>
      <c r="D11" s="39">
        <f t="shared" si="1"/>
        <v>-0.399091499</v>
      </c>
      <c r="E11" s="38">
        <v>2.0</v>
      </c>
      <c r="F11" s="38">
        <v>0.0</v>
      </c>
      <c r="G11" s="38">
        <v>0.0</v>
      </c>
      <c r="H11" s="38">
        <v>0.0</v>
      </c>
      <c r="I11" s="38">
        <v>142.0</v>
      </c>
      <c r="J11" s="38">
        <v>51.0</v>
      </c>
      <c r="K11" s="38">
        <v>0.0</v>
      </c>
      <c r="L11" s="38">
        <v>0.0</v>
      </c>
      <c r="M11" s="38">
        <v>0.0</v>
      </c>
      <c r="N11" s="38">
        <v>20.0</v>
      </c>
      <c r="O11" s="38">
        <v>0.0</v>
      </c>
      <c r="P11" s="38">
        <v>0.0</v>
      </c>
      <c r="Q11" s="38">
        <v>0.0</v>
      </c>
      <c r="R11" s="38">
        <v>215.0</v>
      </c>
      <c r="S11" s="26"/>
    </row>
    <row r="12">
      <c r="A12" s="38" t="s">
        <v>38</v>
      </c>
      <c r="B12" s="38" t="s">
        <v>208</v>
      </c>
      <c r="C12" s="38">
        <v>0.0</v>
      </c>
      <c r="D12" s="39">
        <f t="shared" si="1"/>
        <v>-0.399091499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100.0</v>
      </c>
      <c r="N12" s="38">
        <v>0.0</v>
      </c>
      <c r="O12" s="38">
        <v>5.0</v>
      </c>
      <c r="P12" s="38">
        <v>0.0</v>
      </c>
      <c r="Q12" s="38">
        <v>0.0</v>
      </c>
      <c r="R12" s="38">
        <v>105.0</v>
      </c>
      <c r="S12" s="26"/>
    </row>
    <row r="13">
      <c r="A13" s="38" t="s">
        <v>39</v>
      </c>
      <c r="B13" s="38" t="s">
        <v>208</v>
      </c>
      <c r="C13" s="38">
        <v>0.0</v>
      </c>
      <c r="D13" s="39">
        <f t="shared" si="1"/>
        <v>-0.399091499</v>
      </c>
      <c r="E13" s="38">
        <v>0.0</v>
      </c>
      <c r="F13" s="38">
        <v>15.0</v>
      </c>
      <c r="G13" s="38">
        <v>4.0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25.0</v>
      </c>
      <c r="N13" s="38">
        <v>0.0</v>
      </c>
      <c r="O13" s="38">
        <v>2.0</v>
      </c>
      <c r="P13" s="38">
        <v>0.0</v>
      </c>
      <c r="Q13" s="38">
        <v>0.0</v>
      </c>
      <c r="R13" s="38">
        <v>46.0</v>
      </c>
      <c r="S13" s="26"/>
    </row>
    <row r="14">
      <c r="A14" s="38" t="s">
        <v>41</v>
      </c>
      <c r="B14" s="38" t="s">
        <v>208</v>
      </c>
      <c r="C14" s="38">
        <v>0.0</v>
      </c>
      <c r="D14" s="39">
        <f t="shared" si="1"/>
        <v>-0.399091499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140.0</v>
      </c>
      <c r="L14" s="38">
        <v>0.0</v>
      </c>
      <c r="M14" s="38">
        <v>80.0</v>
      </c>
      <c r="N14" s="38">
        <v>0.0</v>
      </c>
      <c r="O14" s="38">
        <v>0.0</v>
      </c>
      <c r="P14" s="38">
        <v>0.0</v>
      </c>
      <c r="Q14" s="38">
        <v>2.0</v>
      </c>
      <c r="R14" s="38">
        <v>222.0</v>
      </c>
      <c r="S14" s="26"/>
    </row>
    <row r="15">
      <c r="A15" s="38" t="s">
        <v>44</v>
      </c>
      <c r="B15" s="38" t="s">
        <v>208</v>
      </c>
      <c r="C15" s="38">
        <v>100.0</v>
      </c>
      <c r="D15" s="39">
        <f t="shared" si="1"/>
        <v>6.090201168</v>
      </c>
      <c r="E15" s="38">
        <v>0.0</v>
      </c>
      <c r="F15" s="38">
        <v>20.0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250.0</v>
      </c>
      <c r="N15" s="38">
        <v>0.0</v>
      </c>
      <c r="O15" s="38">
        <v>8.0</v>
      </c>
      <c r="P15" s="38">
        <v>0.0</v>
      </c>
      <c r="Q15" s="38">
        <v>0.0</v>
      </c>
      <c r="R15" s="38">
        <v>378.0</v>
      </c>
      <c r="S15" s="26"/>
    </row>
    <row r="16">
      <c r="A16" s="38" t="s">
        <v>45</v>
      </c>
      <c r="B16" s="38" t="s">
        <v>208</v>
      </c>
      <c r="C16" s="38">
        <v>0.0</v>
      </c>
      <c r="D16" s="39">
        <f t="shared" si="1"/>
        <v>-0.399091499</v>
      </c>
      <c r="E16" s="38">
        <v>0.0</v>
      </c>
      <c r="F16" s="38">
        <v>3.0</v>
      </c>
      <c r="G16" s="38">
        <v>0.0</v>
      </c>
      <c r="H16" s="38">
        <v>0.0</v>
      </c>
      <c r="I16" s="38">
        <v>71.0</v>
      </c>
      <c r="J16" s="38">
        <v>102.0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176.0</v>
      </c>
      <c r="S16" s="26"/>
    </row>
    <row r="17">
      <c r="A17" s="38" t="s">
        <v>46</v>
      </c>
      <c r="B17" s="38" t="s">
        <v>208</v>
      </c>
      <c r="C17" s="38">
        <v>12.0</v>
      </c>
      <c r="D17" s="39">
        <f t="shared" si="1"/>
        <v>0.379623621</v>
      </c>
      <c r="E17" s="38">
        <v>0.0</v>
      </c>
      <c r="F17" s="38">
        <v>0.0</v>
      </c>
      <c r="G17" s="38">
        <v>0.0</v>
      </c>
      <c r="H17" s="38">
        <v>0.0</v>
      </c>
      <c r="I17" s="38">
        <v>71.0</v>
      </c>
      <c r="J17" s="38">
        <v>51.0</v>
      </c>
      <c r="K17" s="38">
        <v>0.0</v>
      </c>
      <c r="L17" s="38">
        <v>0.0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134.0</v>
      </c>
      <c r="S17" s="26"/>
    </row>
    <row r="18">
      <c r="A18" s="38" t="s">
        <v>47</v>
      </c>
      <c r="B18" s="38" t="s">
        <v>208</v>
      </c>
      <c r="C18" s="38">
        <v>0.0</v>
      </c>
      <c r="D18" s="39">
        <f t="shared" si="1"/>
        <v>-0.399091499</v>
      </c>
      <c r="E18" s="38">
        <v>0.0</v>
      </c>
      <c r="F18" s="38">
        <v>0.0</v>
      </c>
      <c r="G18" s="38">
        <v>0.0</v>
      </c>
      <c r="H18" s="38">
        <v>0.0</v>
      </c>
      <c r="I18" s="38">
        <v>0.0</v>
      </c>
      <c r="J18" s="38">
        <v>0.0</v>
      </c>
      <c r="K18" s="38">
        <v>0.0</v>
      </c>
      <c r="L18" s="38">
        <v>30.0</v>
      </c>
      <c r="M18" s="38">
        <v>200.0</v>
      </c>
      <c r="N18" s="38">
        <v>0.0</v>
      </c>
      <c r="O18" s="38">
        <v>5.0</v>
      </c>
      <c r="P18" s="38">
        <v>10.0</v>
      </c>
      <c r="Q18" s="38">
        <v>0.0</v>
      </c>
      <c r="R18" s="38">
        <v>245.0</v>
      </c>
      <c r="S18" s="26"/>
    </row>
    <row r="19">
      <c r="A19" s="38" t="s">
        <v>48</v>
      </c>
      <c r="B19" s="38" t="s">
        <v>208</v>
      </c>
      <c r="C19" s="38">
        <v>0.0</v>
      </c>
      <c r="D19" s="39">
        <f t="shared" si="1"/>
        <v>-0.399091499</v>
      </c>
      <c r="E19" s="38">
        <v>3.0</v>
      </c>
      <c r="F19" s="38">
        <v>1.0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20.0</v>
      </c>
      <c r="N19" s="38">
        <v>0.0</v>
      </c>
      <c r="O19" s="38">
        <v>0.0</v>
      </c>
      <c r="P19" s="38">
        <v>0.0</v>
      </c>
      <c r="Q19" s="38">
        <v>0.0</v>
      </c>
      <c r="R19" s="38">
        <v>24.0</v>
      </c>
      <c r="S19" s="26"/>
    </row>
    <row r="20">
      <c r="A20" s="38" t="s">
        <v>49</v>
      </c>
      <c r="B20" s="38" t="s">
        <v>208</v>
      </c>
      <c r="C20" s="38">
        <v>0.0</v>
      </c>
      <c r="D20" s="39">
        <f t="shared" si="1"/>
        <v>-0.399091499</v>
      </c>
      <c r="E20" s="38">
        <v>0.0</v>
      </c>
      <c r="F20" s="38">
        <v>0.0</v>
      </c>
      <c r="G20" s="38">
        <v>0.0</v>
      </c>
      <c r="H20" s="38">
        <v>0.0</v>
      </c>
      <c r="I20" s="38">
        <v>71.0</v>
      </c>
      <c r="J20" s="38">
        <v>102.0</v>
      </c>
      <c r="K20" s="38">
        <v>50.0</v>
      </c>
      <c r="L20" s="38">
        <v>140.0</v>
      </c>
      <c r="M20" s="38">
        <v>0.0</v>
      </c>
      <c r="N20" s="38">
        <v>0.0</v>
      </c>
      <c r="O20" s="38">
        <v>0.0</v>
      </c>
      <c r="P20" s="38">
        <v>0.0</v>
      </c>
      <c r="Q20" s="38">
        <v>0.0</v>
      </c>
      <c r="R20" s="38">
        <v>363.0</v>
      </c>
      <c r="S20" s="26"/>
    </row>
    <row r="21" ht="15.75" customHeight="1">
      <c r="A21" s="38" t="s">
        <v>50</v>
      </c>
      <c r="B21" s="38" t="s">
        <v>208</v>
      </c>
      <c r="C21" s="38">
        <v>0.0</v>
      </c>
      <c r="D21" s="39">
        <f t="shared" si="1"/>
        <v>-0.399091499</v>
      </c>
      <c r="E21" s="38">
        <v>0.0</v>
      </c>
      <c r="F21" s="38">
        <v>0.0</v>
      </c>
      <c r="G21" s="38">
        <v>30.0</v>
      </c>
      <c r="H21" s="38">
        <v>0.0</v>
      </c>
      <c r="I21" s="38">
        <v>0.0</v>
      </c>
      <c r="J21" s="38">
        <v>0.0</v>
      </c>
      <c r="K21" s="38">
        <v>25.0</v>
      </c>
      <c r="L21" s="38">
        <v>0.0</v>
      </c>
      <c r="M21" s="38">
        <v>40.0</v>
      </c>
      <c r="N21" s="38">
        <v>0.0</v>
      </c>
      <c r="O21" s="38">
        <v>0.0</v>
      </c>
      <c r="P21" s="38">
        <v>0.0</v>
      </c>
      <c r="Q21" s="38">
        <v>0.0</v>
      </c>
      <c r="R21" s="38">
        <v>95.0</v>
      </c>
      <c r="S21" s="26"/>
    </row>
    <row r="22" ht="15.75" customHeight="1">
      <c r="A22" s="38" t="s">
        <v>51</v>
      </c>
      <c r="B22" s="38" t="s">
        <v>208</v>
      </c>
      <c r="C22" s="38">
        <v>3.0</v>
      </c>
      <c r="D22" s="39">
        <f t="shared" si="1"/>
        <v>-0.204412719</v>
      </c>
      <c r="E22" s="38">
        <v>10.0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13.0</v>
      </c>
      <c r="S22" s="26"/>
    </row>
    <row r="23" ht="15.75" customHeight="1">
      <c r="A23" s="38" t="s">
        <v>52</v>
      </c>
      <c r="B23" s="38" t="s">
        <v>208</v>
      </c>
      <c r="C23" s="38">
        <v>0.0</v>
      </c>
      <c r="D23" s="39">
        <f t="shared" si="1"/>
        <v>-0.399091499</v>
      </c>
      <c r="E23" s="38">
        <v>0.0</v>
      </c>
      <c r="F23" s="38">
        <v>0.0</v>
      </c>
      <c r="G23" s="38">
        <v>0.0</v>
      </c>
      <c r="H23" s="38">
        <v>0.0</v>
      </c>
      <c r="I23" s="38">
        <v>355.0</v>
      </c>
      <c r="J23" s="38">
        <v>0.0</v>
      </c>
      <c r="K23" s="38">
        <v>0.0</v>
      </c>
      <c r="L23" s="38">
        <v>0.0</v>
      </c>
      <c r="M23" s="38">
        <v>25.0</v>
      </c>
      <c r="N23" s="38">
        <v>0.0</v>
      </c>
      <c r="O23" s="38">
        <v>4.0</v>
      </c>
      <c r="P23" s="38">
        <v>0.0</v>
      </c>
      <c r="Q23" s="38">
        <v>0.0</v>
      </c>
      <c r="R23" s="38">
        <v>384.0</v>
      </c>
      <c r="S23" s="26"/>
    </row>
    <row r="24" ht="15.75" customHeight="1">
      <c r="A24" s="38" t="s">
        <v>53</v>
      </c>
      <c r="B24" s="38" t="s">
        <v>208</v>
      </c>
      <c r="C24" s="38">
        <v>2.0</v>
      </c>
      <c r="D24" s="39">
        <f t="shared" si="1"/>
        <v>-0.2693056457</v>
      </c>
      <c r="E24" s="38">
        <v>0.0</v>
      </c>
      <c r="F24" s="38">
        <v>1.0</v>
      </c>
      <c r="G24" s="38">
        <v>0.0</v>
      </c>
      <c r="H24" s="38">
        <v>0.0</v>
      </c>
      <c r="I24" s="38">
        <v>0.0</v>
      </c>
      <c r="J24" s="38">
        <v>51.0</v>
      </c>
      <c r="K24" s="38">
        <v>0.0</v>
      </c>
      <c r="L24" s="38">
        <v>0.0</v>
      </c>
      <c r="M24" s="38">
        <v>15.0</v>
      </c>
      <c r="N24" s="38">
        <v>0.0</v>
      </c>
      <c r="O24" s="38">
        <v>0.0</v>
      </c>
      <c r="P24" s="38">
        <v>0.0</v>
      </c>
      <c r="Q24" s="38">
        <v>0.0</v>
      </c>
      <c r="R24" s="38">
        <v>69.0</v>
      </c>
      <c r="S24" s="26"/>
    </row>
    <row r="25" ht="15.75" customHeight="1">
      <c r="A25" s="38" t="s">
        <v>54</v>
      </c>
      <c r="B25" s="38" t="s">
        <v>208</v>
      </c>
      <c r="C25" s="38">
        <v>2.0</v>
      </c>
      <c r="D25" s="39">
        <f t="shared" si="1"/>
        <v>-0.2693056457</v>
      </c>
      <c r="E25" s="38">
        <v>0.0</v>
      </c>
      <c r="F25" s="38">
        <v>8.0</v>
      </c>
      <c r="G25" s="38">
        <v>0.0</v>
      </c>
      <c r="H25" s="38">
        <v>0.0</v>
      </c>
      <c r="I25" s="38">
        <v>0.0</v>
      </c>
      <c r="J25" s="38">
        <v>0.0</v>
      </c>
      <c r="K25" s="38">
        <v>150.0</v>
      </c>
      <c r="L25" s="38">
        <v>100.0</v>
      </c>
      <c r="M25" s="38">
        <v>0.0</v>
      </c>
      <c r="N25" s="38">
        <v>0.0</v>
      </c>
      <c r="O25" s="38">
        <v>0.0</v>
      </c>
      <c r="P25" s="38">
        <v>5.0</v>
      </c>
      <c r="Q25" s="38">
        <v>3.0</v>
      </c>
      <c r="R25" s="38">
        <v>268.0</v>
      </c>
      <c r="S25" s="26"/>
    </row>
    <row r="26" ht="15.75" customHeight="1">
      <c r="A26" s="38" t="s">
        <v>55</v>
      </c>
      <c r="B26" s="38" t="s">
        <v>208</v>
      </c>
      <c r="C26" s="38">
        <v>0.0</v>
      </c>
      <c r="D26" s="39">
        <f t="shared" si="1"/>
        <v>-0.399091499</v>
      </c>
      <c r="E26" s="38">
        <v>3.0</v>
      </c>
      <c r="F26" s="38">
        <v>12.0</v>
      </c>
      <c r="G26" s="38">
        <v>0.0</v>
      </c>
      <c r="H26" s="38">
        <v>0.0</v>
      </c>
      <c r="I26" s="38">
        <v>0.0</v>
      </c>
      <c r="J26" s="38">
        <v>0.0</v>
      </c>
      <c r="K26" s="38">
        <v>15.0</v>
      </c>
      <c r="L26" s="38">
        <v>0.0</v>
      </c>
      <c r="M26" s="38">
        <v>0.0</v>
      </c>
      <c r="N26" s="38">
        <v>0.0</v>
      </c>
      <c r="O26" s="38">
        <v>2.0</v>
      </c>
      <c r="P26" s="38">
        <v>0.0</v>
      </c>
      <c r="Q26" s="38">
        <v>0.0</v>
      </c>
      <c r="R26" s="38">
        <v>32.0</v>
      </c>
      <c r="S26" s="26"/>
    </row>
    <row r="27" ht="15.75" customHeight="1">
      <c r="A27" s="38" t="s">
        <v>56</v>
      </c>
      <c r="B27" s="38" t="s">
        <v>208</v>
      </c>
      <c r="C27" s="38">
        <v>2.0</v>
      </c>
      <c r="D27" s="39">
        <f t="shared" si="1"/>
        <v>-0.2693056457</v>
      </c>
      <c r="E27" s="38">
        <v>0.0</v>
      </c>
      <c r="F27" s="38">
        <v>0.0</v>
      </c>
      <c r="G27" s="38">
        <v>0.0</v>
      </c>
      <c r="H27" s="38">
        <v>0.0</v>
      </c>
      <c r="I27" s="38">
        <v>71.0</v>
      </c>
      <c r="J27" s="38">
        <v>0.0</v>
      </c>
      <c r="K27" s="38">
        <v>200.0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273.0</v>
      </c>
      <c r="S27" s="26"/>
    </row>
    <row r="28" ht="15.75" customHeight="1">
      <c r="A28" s="38" t="s">
        <v>57</v>
      </c>
      <c r="B28" s="38" t="s">
        <v>208</v>
      </c>
      <c r="C28" s="38">
        <v>0.0</v>
      </c>
      <c r="D28" s="39">
        <f t="shared" si="1"/>
        <v>-0.399091499</v>
      </c>
      <c r="E28" s="38">
        <v>0.0</v>
      </c>
      <c r="F28" s="38">
        <v>0.0</v>
      </c>
      <c r="G28" s="38">
        <v>0.0</v>
      </c>
      <c r="H28" s="38">
        <v>0.0</v>
      </c>
      <c r="I28" s="38">
        <v>213.0</v>
      </c>
      <c r="J28" s="38">
        <v>0.0</v>
      </c>
      <c r="K28" s="38">
        <v>0.0</v>
      </c>
      <c r="L28" s="38">
        <v>100.0</v>
      </c>
      <c r="M28" s="38">
        <v>0.0</v>
      </c>
      <c r="N28" s="38">
        <v>0.0</v>
      </c>
      <c r="O28" s="38">
        <v>0.0</v>
      </c>
      <c r="P28" s="38">
        <v>0.0</v>
      </c>
      <c r="Q28" s="38">
        <v>0.0</v>
      </c>
      <c r="R28" s="38">
        <v>313.0</v>
      </c>
      <c r="S28" s="26"/>
    </row>
    <row r="29" ht="15.75" customHeight="1">
      <c r="A29" s="38" t="s">
        <v>58</v>
      </c>
      <c r="B29" s="38" t="s">
        <v>208</v>
      </c>
      <c r="C29" s="38">
        <v>0.0</v>
      </c>
      <c r="D29" s="39">
        <f t="shared" si="1"/>
        <v>-0.399091499</v>
      </c>
      <c r="E29" s="38">
        <v>0.0</v>
      </c>
      <c r="F29" s="38">
        <v>1.0</v>
      </c>
      <c r="G29" s="38">
        <v>0.0</v>
      </c>
      <c r="H29" s="38">
        <v>0.0</v>
      </c>
      <c r="I29" s="38">
        <v>0.0</v>
      </c>
      <c r="J29" s="38">
        <v>0.0</v>
      </c>
      <c r="K29" s="38">
        <v>30.0</v>
      </c>
      <c r="L29" s="38">
        <v>25.0</v>
      </c>
      <c r="M29" s="38">
        <v>0.0</v>
      </c>
      <c r="N29" s="38">
        <v>0.0</v>
      </c>
      <c r="O29" s="38">
        <v>1.0</v>
      </c>
      <c r="P29" s="38">
        <v>0.0</v>
      </c>
      <c r="Q29" s="38">
        <v>0.0</v>
      </c>
      <c r="R29" s="38">
        <v>57.0</v>
      </c>
      <c r="S29" s="26"/>
    </row>
    <row r="30" ht="15.75" customHeight="1">
      <c r="A30" s="38" t="s">
        <v>59</v>
      </c>
      <c r="B30" s="38" t="s">
        <v>208</v>
      </c>
      <c r="C30" s="38">
        <v>0.0</v>
      </c>
      <c r="D30" s="39">
        <f t="shared" si="1"/>
        <v>-0.399091499</v>
      </c>
      <c r="E30" s="38">
        <v>5.0</v>
      </c>
      <c r="F30" s="38">
        <v>3.0</v>
      </c>
      <c r="G30" s="38">
        <v>0.0</v>
      </c>
      <c r="H30" s="38">
        <v>0.0</v>
      </c>
      <c r="I30" s="38">
        <v>0.0</v>
      </c>
      <c r="J30" s="38">
        <v>51.0</v>
      </c>
      <c r="K30" s="38">
        <v>0.0</v>
      </c>
      <c r="L30" s="38">
        <v>25.0</v>
      </c>
      <c r="M30" s="38">
        <v>0.0</v>
      </c>
      <c r="N30" s="38">
        <v>0.0</v>
      </c>
      <c r="O30" s="38">
        <v>1.0</v>
      </c>
      <c r="P30" s="38">
        <v>0.0</v>
      </c>
      <c r="Q30" s="38">
        <v>0.0</v>
      </c>
      <c r="R30" s="38">
        <v>85.0</v>
      </c>
      <c r="S30" s="26"/>
    </row>
    <row r="31" ht="15.75" customHeight="1">
      <c r="A31" s="38" t="s">
        <v>60</v>
      </c>
      <c r="B31" s="38" t="s">
        <v>208</v>
      </c>
      <c r="C31" s="38">
        <v>3.0</v>
      </c>
      <c r="D31" s="39">
        <f t="shared" si="1"/>
        <v>-0.204412719</v>
      </c>
      <c r="E31" s="38">
        <v>0.0</v>
      </c>
      <c r="F31" s="38">
        <v>1.0</v>
      </c>
      <c r="G31" s="38">
        <v>0.0</v>
      </c>
      <c r="H31" s="38">
        <v>0.0</v>
      </c>
      <c r="I31" s="38">
        <v>71.0</v>
      </c>
      <c r="J31" s="38">
        <v>51.0</v>
      </c>
      <c r="K31" s="38">
        <v>0.0</v>
      </c>
      <c r="L31" s="38">
        <v>0.0</v>
      </c>
      <c r="M31" s="38">
        <v>50.0</v>
      </c>
      <c r="N31" s="38">
        <v>5.0</v>
      </c>
      <c r="O31" s="38">
        <v>0.0</v>
      </c>
      <c r="P31" s="38">
        <v>0.0</v>
      </c>
      <c r="Q31" s="38">
        <v>0.0</v>
      </c>
      <c r="R31" s="38">
        <v>181.0</v>
      </c>
      <c r="S31" s="26"/>
    </row>
    <row r="32" ht="15.75" customHeight="1">
      <c r="A32" s="38" t="s">
        <v>61</v>
      </c>
      <c r="B32" s="38" t="s">
        <v>208</v>
      </c>
      <c r="C32" s="38">
        <v>3.0</v>
      </c>
      <c r="D32" s="39">
        <f t="shared" si="1"/>
        <v>-0.204412719</v>
      </c>
      <c r="E32" s="38">
        <v>0.0</v>
      </c>
      <c r="F32" s="38">
        <v>0.0</v>
      </c>
      <c r="G32" s="38">
        <v>0.0</v>
      </c>
      <c r="H32" s="38">
        <v>0.0</v>
      </c>
      <c r="I32" s="38">
        <v>0.0</v>
      </c>
      <c r="J32" s="38">
        <v>51.0</v>
      </c>
      <c r="K32" s="38">
        <v>0.0</v>
      </c>
      <c r="L32" s="38">
        <v>20.0</v>
      </c>
      <c r="M32" s="38">
        <v>0.0</v>
      </c>
      <c r="N32" s="38">
        <v>6.0</v>
      </c>
      <c r="O32" s="38">
        <v>10.0</v>
      </c>
      <c r="P32" s="38">
        <v>0.0</v>
      </c>
      <c r="Q32" s="38">
        <v>0.0</v>
      </c>
      <c r="R32" s="38">
        <v>90.0</v>
      </c>
      <c r="S32" s="26"/>
    </row>
    <row r="33" ht="15.75" customHeight="1">
      <c r="A33" s="38" t="s">
        <v>62</v>
      </c>
      <c r="B33" s="38" t="s">
        <v>208</v>
      </c>
      <c r="C33" s="38">
        <v>0.0</v>
      </c>
      <c r="D33" s="39">
        <f t="shared" si="1"/>
        <v>-0.399091499</v>
      </c>
      <c r="E33" s="38">
        <v>2.0</v>
      </c>
      <c r="F33" s="38">
        <v>3.0</v>
      </c>
      <c r="G33" s="38">
        <v>0.0</v>
      </c>
      <c r="H33" s="38">
        <v>0.0</v>
      </c>
      <c r="I33" s="38">
        <v>0.0</v>
      </c>
      <c r="J33" s="38">
        <v>102.0</v>
      </c>
      <c r="K33" s="38">
        <v>0.0</v>
      </c>
      <c r="L33" s="38">
        <v>0.0</v>
      </c>
      <c r="M33" s="38">
        <v>100.0</v>
      </c>
      <c r="N33" s="38">
        <v>0.0</v>
      </c>
      <c r="O33" s="38">
        <v>8.0</v>
      </c>
      <c r="P33" s="38">
        <v>0.0</v>
      </c>
      <c r="Q33" s="38">
        <v>0.0</v>
      </c>
      <c r="R33" s="38">
        <v>215.0</v>
      </c>
      <c r="S33" s="26"/>
    </row>
    <row r="34" ht="15.75" customHeight="1">
      <c r="A34" s="38" t="s">
        <v>63</v>
      </c>
      <c r="B34" s="38" t="s">
        <v>209</v>
      </c>
      <c r="C34" s="38">
        <v>0.0</v>
      </c>
      <c r="D34" s="39">
        <f t="shared" si="1"/>
        <v>-0.399091499</v>
      </c>
      <c r="E34" s="38">
        <v>1.0</v>
      </c>
      <c r="F34" s="38">
        <v>2.0</v>
      </c>
      <c r="G34" s="38">
        <v>0.0</v>
      </c>
      <c r="H34" s="38">
        <v>0.0</v>
      </c>
      <c r="I34" s="38">
        <v>0.0</v>
      </c>
      <c r="J34" s="38">
        <v>0.0</v>
      </c>
      <c r="K34" s="38">
        <v>0.0</v>
      </c>
      <c r="L34" s="38">
        <v>0.0</v>
      </c>
      <c r="M34" s="38">
        <v>0.0</v>
      </c>
      <c r="N34" s="38">
        <v>0.0</v>
      </c>
      <c r="O34" s="38">
        <v>0.0</v>
      </c>
      <c r="P34" s="38">
        <v>0.0</v>
      </c>
      <c r="Q34" s="38">
        <v>4.0</v>
      </c>
      <c r="R34" s="38">
        <v>7.0</v>
      </c>
      <c r="S34" s="26"/>
    </row>
    <row r="35" ht="15.75" customHeight="1">
      <c r="A35" s="38" t="s">
        <v>64</v>
      </c>
      <c r="B35" s="38" t="s">
        <v>209</v>
      </c>
      <c r="C35" s="38">
        <v>0.0</v>
      </c>
      <c r="D35" s="39">
        <f t="shared" si="1"/>
        <v>-0.399091499</v>
      </c>
      <c r="E35" s="38">
        <v>0.0</v>
      </c>
      <c r="F35" s="38">
        <v>3.0</v>
      </c>
      <c r="G35" s="38">
        <v>0.0</v>
      </c>
      <c r="H35" s="38">
        <v>0.0</v>
      </c>
      <c r="I35" s="38">
        <v>71.0</v>
      </c>
      <c r="J35" s="38">
        <v>51.0</v>
      </c>
      <c r="K35" s="38">
        <v>0.0</v>
      </c>
      <c r="L35" s="38">
        <v>0.0</v>
      </c>
      <c r="M35" s="38">
        <v>0.0</v>
      </c>
      <c r="N35" s="38">
        <v>5.0</v>
      </c>
      <c r="O35" s="38">
        <v>0.0</v>
      </c>
      <c r="P35" s="38">
        <v>0.0</v>
      </c>
      <c r="Q35" s="38">
        <v>0.0</v>
      </c>
      <c r="R35" s="38">
        <v>130.0</v>
      </c>
      <c r="S35" s="26"/>
    </row>
    <row r="36" ht="15.75" customHeight="1">
      <c r="A36" s="38" t="s">
        <v>65</v>
      </c>
      <c r="B36" s="38" t="s">
        <v>209</v>
      </c>
      <c r="C36" s="38">
        <v>4.0</v>
      </c>
      <c r="D36" s="39">
        <f t="shared" si="1"/>
        <v>-0.1395197923</v>
      </c>
      <c r="E36" s="38">
        <v>0.0</v>
      </c>
      <c r="F36" s="38">
        <v>4.0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8.0</v>
      </c>
      <c r="S36" s="26"/>
    </row>
    <row r="37" ht="15.75" customHeight="1">
      <c r="A37" s="38" t="s">
        <v>66</v>
      </c>
      <c r="B37" s="38" t="s">
        <v>209</v>
      </c>
      <c r="C37" s="38">
        <v>12.0</v>
      </c>
      <c r="D37" s="39">
        <f t="shared" si="1"/>
        <v>0.379623621</v>
      </c>
      <c r="E37" s="38">
        <v>0.0</v>
      </c>
      <c r="F37" s="38">
        <v>0.0</v>
      </c>
      <c r="G37" s="38">
        <v>0.0</v>
      </c>
      <c r="H37" s="38">
        <v>0.0</v>
      </c>
      <c r="I37" s="38">
        <v>142.0</v>
      </c>
      <c r="J37" s="38">
        <v>51.0</v>
      </c>
      <c r="K37" s="38">
        <v>0.0</v>
      </c>
      <c r="L37" s="38">
        <v>200.0</v>
      </c>
      <c r="M37" s="38">
        <v>0.0</v>
      </c>
      <c r="N37" s="38">
        <v>0.0</v>
      </c>
      <c r="O37" s="38">
        <v>5.0</v>
      </c>
      <c r="P37" s="38">
        <v>0.0</v>
      </c>
      <c r="Q37" s="38">
        <v>0.0</v>
      </c>
      <c r="R37" s="38">
        <v>410.0</v>
      </c>
      <c r="S37" s="26"/>
    </row>
    <row r="38" ht="15.75" customHeight="1">
      <c r="A38" s="38" t="s">
        <v>67</v>
      </c>
      <c r="B38" s="38" t="s">
        <v>209</v>
      </c>
      <c r="C38" s="38">
        <v>0.0</v>
      </c>
      <c r="D38" s="39">
        <f t="shared" si="1"/>
        <v>-0.399091499</v>
      </c>
      <c r="E38" s="38">
        <v>0.0</v>
      </c>
      <c r="F38" s="38">
        <v>1.0</v>
      </c>
      <c r="G38" s="38">
        <v>0.0</v>
      </c>
      <c r="H38" s="38">
        <v>0.0</v>
      </c>
      <c r="I38" s="38">
        <v>0.0</v>
      </c>
      <c r="J38" s="38">
        <v>0.0</v>
      </c>
      <c r="K38" s="38">
        <v>25.0</v>
      </c>
      <c r="L38" s="38">
        <v>10.0</v>
      </c>
      <c r="M38" s="38">
        <v>150.0</v>
      </c>
      <c r="N38" s="38">
        <v>5.0</v>
      </c>
      <c r="O38" s="38">
        <v>0.0</v>
      </c>
      <c r="P38" s="38">
        <v>10.0</v>
      </c>
      <c r="Q38" s="38">
        <v>0.0</v>
      </c>
      <c r="R38" s="38">
        <v>201.0</v>
      </c>
      <c r="S38" s="26"/>
    </row>
    <row r="39" ht="15.75" customHeight="1">
      <c r="A39" s="38" t="s">
        <v>68</v>
      </c>
      <c r="B39" s="38" t="s">
        <v>209</v>
      </c>
      <c r="C39" s="38">
        <v>0.0</v>
      </c>
      <c r="D39" s="39">
        <f t="shared" si="1"/>
        <v>-0.399091499</v>
      </c>
      <c r="E39" s="38">
        <v>2.0</v>
      </c>
      <c r="F39" s="38">
        <v>10.0</v>
      </c>
      <c r="G39" s="38">
        <v>0.0</v>
      </c>
      <c r="H39" s="38">
        <v>0.0</v>
      </c>
      <c r="I39" s="38">
        <v>0.0</v>
      </c>
      <c r="J39" s="38">
        <v>51.0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10.0</v>
      </c>
      <c r="Q39" s="38">
        <v>0.0</v>
      </c>
      <c r="R39" s="38">
        <v>73.0</v>
      </c>
      <c r="S39" s="26"/>
    </row>
    <row r="40" ht="15.75" customHeight="1">
      <c r="A40" s="38" t="s">
        <v>69</v>
      </c>
      <c r="B40" s="38" t="s">
        <v>209</v>
      </c>
      <c r="C40" s="38">
        <v>2.0</v>
      </c>
      <c r="D40" s="39">
        <f t="shared" si="1"/>
        <v>-0.2693056457</v>
      </c>
      <c r="E40" s="38">
        <v>0.0</v>
      </c>
      <c r="F40" s="38">
        <v>0.0</v>
      </c>
      <c r="G40" s="38">
        <v>0.0</v>
      </c>
      <c r="H40" s="38">
        <v>0.0</v>
      </c>
      <c r="I40" s="38">
        <v>142.0</v>
      </c>
      <c r="J40" s="38">
        <v>0.0</v>
      </c>
      <c r="K40" s="38">
        <v>0.0</v>
      </c>
      <c r="L40" s="38">
        <v>0.0</v>
      </c>
      <c r="M40" s="38">
        <v>0.0</v>
      </c>
      <c r="N40" s="38">
        <v>10.0</v>
      </c>
      <c r="O40" s="38">
        <v>5.0</v>
      </c>
      <c r="P40" s="38">
        <v>0.0</v>
      </c>
      <c r="Q40" s="38">
        <v>0.0</v>
      </c>
      <c r="R40" s="38">
        <v>159.0</v>
      </c>
      <c r="S40" s="26"/>
    </row>
    <row r="41" ht="15.75" customHeight="1">
      <c r="A41" s="38" t="s">
        <v>70</v>
      </c>
      <c r="B41" s="38" t="s">
        <v>209</v>
      </c>
      <c r="C41" s="38">
        <v>0.0</v>
      </c>
      <c r="D41" s="39">
        <f t="shared" si="1"/>
        <v>-0.399091499</v>
      </c>
      <c r="E41" s="38">
        <v>3.0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40.0</v>
      </c>
      <c r="L41" s="38">
        <v>100.0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143.0</v>
      </c>
      <c r="S41" s="26"/>
    </row>
    <row r="42" ht="15.75" customHeight="1">
      <c r="A42" s="38" t="s">
        <v>71</v>
      </c>
      <c r="B42" s="38" t="s">
        <v>209</v>
      </c>
      <c r="C42" s="38">
        <v>3.0</v>
      </c>
      <c r="D42" s="39">
        <f t="shared" si="1"/>
        <v>-0.204412719</v>
      </c>
      <c r="E42" s="38">
        <v>0.0</v>
      </c>
      <c r="F42" s="38">
        <v>12.0</v>
      </c>
      <c r="G42" s="38">
        <v>0.0</v>
      </c>
      <c r="H42" s="38">
        <v>0.0</v>
      </c>
      <c r="I42" s="38">
        <v>0.0</v>
      </c>
      <c r="J42" s="38">
        <v>51.0</v>
      </c>
      <c r="K42" s="38">
        <v>0.0</v>
      </c>
      <c r="L42" s="38">
        <v>0.0</v>
      </c>
      <c r="M42" s="38">
        <v>15.0</v>
      </c>
      <c r="N42" s="38">
        <v>0.0</v>
      </c>
      <c r="O42" s="38">
        <v>10.0</v>
      </c>
      <c r="P42" s="38">
        <v>0.0</v>
      </c>
      <c r="Q42" s="38">
        <v>0.0</v>
      </c>
      <c r="R42" s="38">
        <v>91.0</v>
      </c>
      <c r="S42" s="26"/>
    </row>
    <row r="43" ht="15.75" customHeight="1">
      <c r="A43" s="38" t="s">
        <v>72</v>
      </c>
      <c r="B43" s="38" t="s">
        <v>209</v>
      </c>
      <c r="C43" s="38">
        <v>3.0</v>
      </c>
      <c r="D43" s="39">
        <f t="shared" si="1"/>
        <v>-0.204412719</v>
      </c>
      <c r="E43" s="38">
        <v>0.0</v>
      </c>
      <c r="F43" s="38">
        <v>12.0</v>
      </c>
      <c r="G43" s="38">
        <v>0.0</v>
      </c>
      <c r="H43" s="38">
        <v>0.0</v>
      </c>
      <c r="I43" s="38">
        <v>0.0</v>
      </c>
      <c r="J43" s="38">
        <v>153.0</v>
      </c>
      <c r="K43" s="38">
        <v>20.0</v>
      </c>
      <c r="L43" s="38">
        <v>0.0</v>
      </c>
      <c r="M43" s="38">
        <v>0.0</v>
      </c>
      <c r="N43" s="38">
        <v>5.0</v>
      </c>
      <c r="O43" s="38">
        <v>0.0</v>
      </c>
      <c r="P43" s="38">
        <v>0.0</v>
      </c>
      <c r="Q43" s="38">
        <v>0.0</v>
      </c>
      <c r="R43" s="38">
        <v>193.0</v>
      </c>
      <c r="S43" s="26"/>
    </row>
    <row r="44" ht="15.75" customHeight="1">
      <c r="A44" s="38" t="s">
        <v>73</v>
      </c>
      <c r="B44" s="38" t="s">
        <v>209</v>
      </c>
      <c r="C44" s="38">
        <v>0.0</v>
      </c>
      <c r="D44" s="39">
        <f t="shared" si="1"/>
        <v>-0.399091499</v>
      </c>
      <c r="E44" s="38">
        <v>12.0</v>
      </c>
      <c r="F44" s="38">
        <v>40.0</v>
      </c>
      <c r="G44" s="38">
        <v>0.0</v>
      </c>
      <c r="H44" s="38">
        <v>0.0</v>
      </c>
      <c r="I44" s="38">
        <v>71.0</v>
      </c>
      <c r="J44" s="38">
        <v>102.0</v>
      </c>
      <c r="K44" s="38">
        <v>0.0</v>
      </c>
      <c r="L44" s="38">
        <v>0.0</v>
      </c>
      <c r="M44" s="38">
        <v>0.0</v>
      </c>
      <c r="N44" s="38">
        <v>10.0</v>
      </c>
      <c r="O44" s="38">
        <v>0.0</v>
      </c>
      <c r="P44" s="38">
        <v>5.0</v>
      </c>
      <c r="Q44" s="38">
        <v>0.0</v>
      </c>
      <c r="R44" s="38">
        <v>240.0</v>
      </c>
      <c r="S44" s="26"/>
    </row>
    <row r="45" ht="15.75" customHeight="1">
      <c r="A45" s="38" t="s">
        <v>74</v>
      </c>
      <c r="B45" s="38" t="s">
        <v>209</v>
      </c>
      <c r="C45" s="38">
        <v>0.0</v>
      </c>
      <c r="D45" s="39">
        <f t="shared" si="1"/>
        <v>-0.399091499</v>
      </c>
      <c r="E45" s="38">
        <v>10.0</v>
      </c>
      <c r="F45" s="38">
        <v>2.0</v>
      </c>
      <c r="G45" s="38">
        <v>20.0</v>
      </c>
      <c r="H45" s="38">
        <v>0.0</v>
      </c>
      <c r="I45" s="38">
        <v>0.0</v>
      </c>
      <c r="J45" s="38">
        <v>51.0</v>
      </c>
      <c r="K45" s="38">
        <v>25.0</v>
      </c>
      <c r="L45" s="38">
        <v>0.0</v>
      </c>
      <c r="M45" s="38">
        <v>0.0</v>
      </c>
      <c r="N45" s="38">
        <v>0.0</v>
      </c>
      <c r="O45" s="38">
        <v>2.0</v>
      </c>
      <c r="P45" s="38">
        <v>0.0</v>
      </c>
      <c r="Q45" s="38">
        <v>0.0</v>
      </c>
      <c r="R45" s="38">
        <v>110.0</v>
      </c>
      <c r="S45" s="26"/>
    </row>
    <row r="46" ht="15.75" customHeight="1">
      <c r="A46" s="38" t="s">
        <v>75</v>
      </c>
      <c r="B46" s="38" t="s">
        <v>209</v>
      </c>
      <c r="C46" s="38">
        <v>0.0</v>
      </c>
      <c r="D46" s="39">
        <f t="shared" si="1"/>
        <v>-0.399091499</v>
      </c>
      <c r="E46" s="38">
        <v>0.0</v>
      </c>
      <c r="F46" s="38">
        <v>0.0</v>
      </c>
      <c r="G46" s="38">
        <v>0.0</v>
      </c>
      <c r="H46" s="38">
        <v>0.0</v>
      </c>
      <c r="I46" s="38">
        <v>0.0</v>
      </c>
      <c r="J46" s="38">
        <v>204.0</v>
      </c>
      <c r="K46" s="38">
        <v>160.0</v>
      </c>
      <c r="L46" s="38">
        <v>25.0</v>
      </c>
      <c r="M46" s="38">
        <v>0.0</v>
      </c>
      <c r="N46" s="38">
        <v>10.0</v>
      </c>
      <c r="O46" s="38">
        <v>0.0</v>
      </c>
      <c r="P46" s="38">
        <v>0.0</v>
      </c>
      <c r="Q46" s="38">
        <v>0.0</v>
      </c>
      <c r="R46" s="38">
        <v>399.0</v>
      </c>
      <c r="S46" s="26"/>
    </row>
    <row r="47" ht="15.75" customHeight="1">
      <c r="A47" s="38" t="s">
        <v>76</v>
      </c>
      <c r="B47" s="38" t="s">
        <v>209</v>
      </c>
      <c r="C47" s="38">
        <v>2.0</v>
      </c>
      <c r="D47" s="39">
        <f t="shared" si="1"/>
        <v>-0.2693056457</v>
      </c>
      <c r="E47" s="38">
        <v>0.0</v>
      </c>
      <c r="F47" s="38">
        <v>0.0</v>
      </c>
      <c r="G47" s="38">
        <v>0.0</v>
      </c>
      <c r="H47" s="38">
        <v>0.0</v>
      </c>
      <c r="I47" s="38">
        <v>0.0</v>
      </c>
      <c r="J47" s="38">
        <v>102.0</v>
      </c>
      <c r="K47" s="38">
        <v>0.0</v>
      </c>
      <c r="L47" s="38">
        <v>0.0</v>
      </c>
      <c r="M47" s="38">
        <v>0.0</v>
      </c>
      <c r="N47" s="38">
        <v>0.0</v>
      </c>
      <c r="O47" s="38">
        <v>0.0</v>
      </c>
      <c r="P47" s="38">
        <v>0.0</v>
      </c>
      <c r="Q47" s="38">
        <v>0.0</v>
      </c>
      <c r="R47" s="38">
        <v>104.0</v>
      </c>
      <c r="S47" s="26"/>
    </row>
    <row r="48" ht="15.75" customHeight="1">
      <c r="A48" s="38" t="s">
        <v>77</v>
      </c>
      <c r="B48" s="38" t="s">
        <v>209</v>
      </c>
      <c r="C48" s="38">
        <v>2.0</v>
      </c>
      <c r="D48" s="39">
        <f t="shared" si="1"/>
        <v>-0.2693056457</v>
      </c>
      <c r="E48" s="38">
        <v>0.0</v>
      </c>
      <c r="F48" s="38">
        <v>1.0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120.0</v>
      </c>
      <c r="N48" s="38">
        <v>0.0</v>
      </c>
      <c r="O48" s="38">
        <v>5.0</v>
      </c>
      <c r="P48" s="38">
        <v>0.0</v>
      </c>
      <c r="Q48" s="38">
        <v>0.0</v>
      </c>
      <c r="R48" s="38">
        <v>128.0</v>
      </c>
      <c r="S48" s="26"/>
    </row>
    <row r="49" ht="15.75" customHeight="1">
      <c r="A49" s="38" t="s">
        <v>78</v>
      </c>
      <c r="B49" s="38" t="s">
        <v>209</v>
      </c>
      <c r="C49" s="38">
        <v>0.0</v>
      </c>
      <c r="D49" s="39">
        <f t="shared" si="1"/>
        <v>-0.399091499</v>
      </c>
      <c r="E49" s="38">
        <v>0.0</v>
      </c>
      <c r="F49" s="38">
        <v>12.0</v>
      </c>
      <c r="G49" s="38">
        <v>0.0</v>
      </c>
      <c r="H49" s="38">
        <v>0.0</v>
      </c>
      <c r="I49" s="38">
        <v>0.0</v>
      </c>
      <c r="J49" s="38">
        <v>0.0</v>
      </c>
      <c r="K49" s="38">
        <v>220.0</v>
      </c>
      <c r="L49" s="38">
        <v>160.0</v>
      </c>
      <c r="M49" s="38">
        <v>0.0</v>
      </c>
      <c r="N49" s="38">
        <v>0.0</v>
      </c>
      <c r="O49" s="38">
        <v>0.0</v>
      </c>
      <c r="P49" s="38">
        <v>0.0</v>
      </c>
      <c r="Q49" s="38">
        <v>0.0</v>
      </c>
      <c r="R49" s="38">
        <v>392.0</v>
      </c>
      <c r="S49" s="26"/>
    </row>
    <row r="50" ht="15.75" customHeight="1">
      <c r="A50" s="38" t="s">
        <v>79</v>
      </c>
      <c r="B50" s="38" t="s">
        <v>209</v>
      </c>
      <c r="C50" s="38">
        <v>2.0</v>
      </c>
      <c r="D50" s="39">
        <f t="shared" si="1"/>
        <v>-0.2693056457</v>
      </c>
      <c r="E50" s="38">
        <v>0.0</v>
      </c>
      <c r="F50" s="38">
        <v>30.0</v>
      </c>
      <c r="G50" s="38">
        <v>0.0</v>
      </c>
      <c r="H50" s="38">
        <v>0.0</v>
      </c>
      <c r="I50" s="38">
        <v>285.0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8">
        <v>317.0</v>
      </c>
      <c r="S50" s="26"/>
    </row>
    <row r="51" ht="15.75" customHeight="1">
      <c r="A51" s="38" t="s">
        <v>80</v>
      </c>
      <c r="B51" s="38" t="s">
        <v>209</v>
      </c>
      <c r="C51" s="38">
        <v>2.0</v>
      </c>
      <c r="D51" s="39">
        <f t="shared" si="1"/>
        <v>-0.2693056457</v>
      </c>
      <c r="E51" s="38">
        <v>0.0</v>
      </c>
      <c r="F51" s="38">
        <v>0.0</v>
      </c>
      <c r="G51" s="38">
        <v>12.0</v>
      </c>
      <c r="H51" s="38">
        <v>0.0</v>
      </c>
      <c r="I51" s="38">
        <v>72.0</v>
      </c>
      <c r="J51" s="38">
        <v>0.0</v>
      </c>
      <c r="K51" s="38">
        <v>0.0</v>
      </c>
      <c r="L51" s="38">
        <v>55.0</v>
      </c>
      <c r="M51" s="38">
        <v>0.0</v>
      </c>
      <c r="N51" s="38">
        <v>5.0</v>
      </c>
      <c r="O51" s="38">
        <v>0.0</v>
      </c>
      <c r="P51" s="38">
        <v>0.0</v>
      </c>
      <c r="Q51" s="38">
        <v>0.0</v>
      </c>
      <c r="R51" s="38">
        <v>146.0</v>
      </c>
      <c r="S51" s="26"/>
    </row>
    <row r="52" ht="15.75" customHeight="1">
      <c r="A52" s="38" t="s">
        <v>81</v>
      </c>
      <c r="B52" s="38" t="s">
        <v>209</v>
      </c>
      <c r="C52" s="38">
        <v>10.0</v>
      </c>
      <c r="D52" s="39">
        <f t="shared" si="1"/>
        <v>0.2498377677</v>
      </c>
      <c r="E52" s="38">
        <v>0.0</v>
      </c>
      <c r="F52" s="38">
        <v>40.0</v>
      </c>
      <c r="G52" s="38">
        <v>0.0</v>
      </c>
      <c r="H52" s="38">
        <v>0.0</v>
      </c>
      <c r="I52" s="38">
        <v>0.0</v>
      </c>
      <c r="J52" s="38">
        <v>0.0</v>
      </c>
      <c r="K52" s="38">
        <v>50.0</v>
      </c>
      <c r="L52" s="38">
        <v>0.0</v>
      </c>
      <c r="M52" s="38">
        <v>25.0</v>
      </c>
      <c r="N52" s="38">
        <v>0.0</v>
      </c>
      <c r="O52" s="38">
        <v>0.0</v>
      </c>
      <c r="P52" s="38">
        <v>0.0</v>
      </c>
      <c r="Q52" s="38">
        <v>2.0</v>
      </c>
      <c r="R52" s="38">
        <v>127.0</v>
      </c>
      <c r="S52" s="26"/>
    </row>
    <row r="53" ht="15.75" customHeight="1">
      <c r="A53" s="38" t="s">
        <v>82</v>
      </c>
      <c r="B53" s="38" t="s">
        <v>209</v>
      </c>
      <c r="C53" s="38">
        <v>0.0</v>
      </c>
      <c r="D53" s="39">
        <f t="shared" si="1"/>
        <v>-0.399091499</v>
      </c>
      <c r="E53" s="38">
        <v>30.0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10.0</v>
      </c>
      <c r="P53" s="38">
        <v>0.0</v>
      </c>
      <c r="Q53" s="38">
        <v>0.0</v>
      </c>
      <c r="R53" s="38">
        <v>40.0</v>
      </c>
      <c r="S53" s="26"/>
    </row>
    <row r="54" ht="15.75" customHeight="1">
      <c r="A54" s="38" t="s">
        <v>83</v>
      </c>
      <c r="B54" s="38" t="s">
        <v>209</v>
      </c>
      <c r="C54" s="38">
        <v>20.0</v>
      </c>
      <c r="D54" s="39">
        <f t="shared" si="1"/>
        <v>0.8987670344</v>
      </c>
      <c r="E54" s="38">
        <v>2.0</v>
      </c>
      <c r="F54" s="38">
        <v>0.0</v>
      </c>
      <c r="G54" s="38">
        <v>4.0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60.0</v>
      </c>
      <c r="N54" s="38">
        <v>0.0</v>
      </c>
      <c r="O54" s="38">
        <v>10.0</v>
      </c>
      <c r="P54" s="38">
        <v>0.0</v>
      </c>
      <c r="Q54" s="38">
        <v>0.0</v>
      </c>
      <c r="R54" s="38">
        <v>96.0</v>
      </c>
      <c r="S54" s="26"/>
    </row>
    <row r="55" ht="15.75" customHeight="1">
      <c r="A55" s="38" t="s">
        <v>84</v>
      </c>
      <c r="B55" s="38" t="s">
        <v>209</v>
      </c>
      <c r="C55" s="38">
        <v>30.0</v>
      </c>
      <c r="D55" s="39">
        <f t="shared" si="1"/>
        <v>1.547696301</v>
      </c>
      <c r="E55" s="38">
        <v>0.0</v>
      </c>
      <c r="F55" s="38">
        <v>6.0</v>
      </c>
      <c r="G55" s="38">
        <v>0.0</v>
      </c>
      <c r="H55" s="38">
        <v>46.0</v>
      </c>
      <c r="I55" s="38">
        <v>0.0</v>
      </c>
      <c r="J55" s="38">
        <v>51.0</v>
      </c>
      <c r="K55" s="38">
        <v>0.0</v>
      </c>
      <c r="L55" s="38">
        <v>0.0</v>
      </c>
      <c r="M55" s="38">
        <v>20.0</v>
      </c>
      <c r="N55" s="38">
        <v>0.0</v>
      </c>
      <c r="O55" s="38">
        <v>0.0</v>
      </c>
      <c r="P55" s="38">
        <v>0.0</v>
      </c>
      <c r="Q55" s="38">
        <v>0.0</v>
      </c>
      <c r="R55" s="38">
        <v>153.0</v>
      </c>
      <c r="S55" s="26"/>
    </row>
    <row r="56" ht="15.75" customHeight="1">
      <c r="A56" s="38" t="s">
        <v>86</v>
      </c>
      <c r="B56" s="38" t="s">
        <v>209</v>
      </c>
      <c r="C56" s="38">
        <v>10.0</v>
      </c>
      <c r="D56" s="39">
        <f t="shared" si="1"/>
        <v>0.2498377677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255.0</v>
      </c>
      <c r="K56" s="38">
        <v>0.0</v>
      </c>
      <c r="L56" s="38">
        <v>160.0</v>
      </c>
      <c r="M56" s="38">
        <v>0.0</v>
      </c>
      <c r="N56" s="38">
        <v>6.0</v>
      </c>
      <c r="O56" s="38">
        <v>2.0</v>
      </c>
      <c r="P56" s="38">
        <v>0.0</v>
      </c>
      <c r="Q56" s="38">
        <v>0.0</v>
      </c>
      <c r="R56" s="38">
        <v>433.0</v>
      </c>
      <c r="S56" s="26"/>
    </row>
    <row r="57" ht="15.75" customHeight="1">
      <c r="A57" s="38" t="s">
        <v>87</v>
      </c>
      <c r="B57" s="38" t="s">
        <v>209</v>
      </c>
      <c r="C57" s="38">
        <v>0.0</v>
      </c>
      <c r="D57" s="39">
        <f t="shared" si="1"/>
        <v>-0.399091499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153.0</v>
      </c>
      <c r="K57" s="38">
        <v>200.0</v>
      </c>
      <c r="L57" s="38">
        <v>170.0</v>
      </c>
      <c r="M57" s="38">
        <v>0.0</v>
      </c>
      <c r="N57" s="38">
        <v>15.0</v>
      </c>
      <c r="O57" s="38">
        <v>10.0</v>
      </c>
      <c r="P57" s="38">
        <v>0.0</v>
      </c>
      <c r="Q57" s="38">
        <v>0.0</v>
      </c>
      <c r="R57" s="38">
        <v>548.0</v>
      </c>
      <c r="S57" s="26"/>
    </row>
    <row r="58" ht="15.75" customHeight="1">
      <c r="A58" s="38" t="s">
        <v>88</v>
      </c>
      <c r="B58" s="38" t="s">
        <v>209</v>
      </c>
      <c r="C58" s="38">
        <v>3.0</v>
      </c>
      <c r="D58" s="39">
        <f t="shared" si="1"/>
        <v>-0.204412719</v>
      </c>
      <c r="E58" s="38">
        <v>0.0</v>
      </c>
      <c r="F58" s="38">
        <v>18.0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5.0</v>
      </c>
      <c r="O58" s="38">
        <v>0.0</v>
      </c>
      <c r="P58" s="38">
        <v>0.0</v>
      </c>
      <c r="Q58" s="38">
        <v>0.0</v>
      </c>
      <c r="R58" s="38">
        <v>26.0</v>
      </c>
      <c r="S58" s="26"/>
    </row>
    <row r="59" ht="15.75" customHeight="1">
      <c r="A59" s="38" t="s">
        <v>89</v>
      </c>
      <c r="B59" s="38" t="s">
        <v>209</v>
      </c>
      <c r="C59" s="38">
        <v>0.0</v>
      </c>
      <c r="D59" s="39">
        <f t="shared" si="1"/>
        <v>-0.399091499</v>
      </c>
      <c r="E59" s="38">
        <v>0.0</v>
      </c>
      <c r="F59" s="38">
        <v>0.0</v>
      </c>
      <c r="G59" s="38">
        <v>0.0</v>
      </c>
      <c r="H59" s="38">
        <v>0.0</v>
      </c>
      <c r="I59" s="38">
        <v>214.0</v>
      </c>
      <c r="J59" s="38">
        <v>0.0</v>
      </c>
      <c r="K59" s="38">
        <v>0.0</v>
      </c>
      <c r="L59" s="38">
        <v>48.0</v>
      </c>
      <c r="M59" s="38">
        <v>0.0</v>
      </c>
      <c r="N59" s="38">
        <v>0.0</v>
      </c>
      <c r="O59" s="38">
        <v>6.0</v>
      </c>
      <c r="P59" s="38">
        <v>20.0</v>
      </c>
      <c r="Q59" s="38">
        <v>0.0</v>
      </c>
      <c r="R59" s="38">
        <v>288.0</v>
      </c>
      <c r="S59" s="26"/>
    </row>
    <row r="60" ht="15.75" customHeight="1">
      <c r="A60" s="38" t="s">
        <v>90</v>
      </c>
      <c r="B60" s="38" t="s">
        <v>209</v>
      </c>
      <c r="C60" s="38">
        <v>0.0</v>
      </c>
      <c r="D60" s="39">
        <f t="shared" si="1"/>
        <v>-0.399091499</v>
      </c>
      <c r="E60" s="38">
        <v>0.0</v>
      </c>
      <c r="F60" s="38">
        <v>0.0</v>
      </c>
      <c r="G60" s="38">
        <v>0.0</v>
      </c>
      <c r="H60" s="38">
        <v>0.0</v>
      </c>
      <c r="I60" s="38">
        <v>0.0</v>
      </c>
      <c r="J60" s="38">
        <v>52.0</v>
      </c>
      <c r="K60" s="38">
        <v>0.0</v>
      </c>
      <c r="L60" s="38">
        <v>0.0</v>
      </c>
      <c r="M60" s="38">
        <v>140.0</v>
      </c>
      <c r="N60" s="38">
        <v>5.0</v>
      </c>
      <c r="O60" s="38">
        <v>0.0</v>
      </c>
      <c r="P60" s="38">
        <v>0.0</v>
      </c>
      <c r="Q60" s="38">
        <v>0.0</v>
      </c>
      <c r="R60" s="38">
        <v>197.0</v>
      </c>
      <c r="S60" s="26"/>
    </row>
    <row r="61" ht="15.75" customHeight="1">
      <c r="A61" s="38" t="s">
        <v>91</v>
      </c>
      <c r="B61" s="38" t="s">
        <v>209</v>
      </c>
      <c r="C61" s="38">
        <v>0.0</v>
      </c>
      <c r="D61" s="39">
        <f t="shared" si="1"/>
        <v>-0.399091499</v>
      </c>
      <c r="E61" s="38">
        <v>0.0</v>
      </c>
      <c r="F61" s="38">
        <v>0.0</v>
      </c>
      <c r="G61" s="38">
        <v>20.0</v>
      </c>
      <c r="H61" s="38">
        <v>0.0</v>
      </c>
      <c r="I61" s="38">
        <v>71.0</v>
      </c>
      <c r="J61" s="38">
        <v>151.0</v>
      </c>
      <c r="K61" s="38">
        <v>150.0</v>
      </c>
      <c r="L61" s="38">
        <v>0.0</v>
      </c>
      <c r="M61" s="38">
        <v>150.0</v>
      </c>
      <c r="N61" s="38">
        <v>0.0</v>
      </c>
      <c r="O61" s="38">
        <v>0.0</v>
      </c>
      <c r="P61" s="38">
        <v>5.0</v>
      </c>
      <c r="Q61" s="38">
        <v>0.0</v>
      </c>
      <c r="R61" s="38">
        <v>547.0</v>
      </c>
      <c r="S61" s="26"/>
    </row>
    <row r="62" ht="15.75" customHeight="1">
      <c r="A62" s="38" t="s">
        <v>92</v>
      </c>
      <c r="B62" s="38" t="s">
        <v>209</v>
      </c>
      <c r="C62" s="38">
        <v>0.0</v>
      </c>
      <c r="D62" s="39">
        <f t="shared" si="1"/>
        <v>-0.399091499</v>
      </c>
      <c r="E62" s="38">
        <v>3.0</v>
      </c>
      <c r="F62" s="38">
        <v>0.0</v>
      </c>
      <c r="G62" s="38">
        <v>0.0</v>
      </c>
      <c r="H62" s="38">
        <v>0.0</v>
      </c>
      <c r="I62" s="38">
        <v>0.0</v>
      </c>
      <c r="J62" s="38">
        <v>255.0</v>
      </c>
      <c r="K62" s="38">
        <v>0.0</v>
      </c>
      <c r="L62" s="38">
        <v>0.0</v>
      </c>
      <c r="M62" s="38">
        <v>0.0</v>
      </c>
      <c r="N62" s="38">
        <v>0.0</v>
      </c>
      <c r="O62" s="38">
        <v>8.0</v>
      </c>
      <c r="P62" s="38">
        <v>0.0</v>
      </c>
      <c r="Q62" s="38">
        <v>0.0</v>
      </c>
      <c r="R62" s="38">
        <v>266.0</v>
      </c>
      <c r="S62" s="26"/>
    </row>
    <row r="63" ht="15.75" customHeight="1">
      <c r="A63" s="38" t="s">
        <v>210</v>
      </c>
      <c r="B63" s="38" t="s">
        <v>209</v>
      </c>
      <c r="C63" s="38">
        <v>0.0</v>
      </c>
      <c r="D63" s="39">
        <f t="shared" si="1"/>
        <v>-0.399091499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26"/>
    </row>
    <row r="64" ht="15.75" customHeight="1">
      <c r="A64" s="38" t="s">
        <v>211</v>
      </c>
      <c r="B64" s="38" t="s">
        <v>212</v>
      </c>
      <c r="C64" s="38">
        <v>0.0</v>
      </c>
      <c r="D64" s="39">
        <f t="shared" si="1"/>
        <v>-0.399091499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26"/>
    </row>
    <row r="65" ht="15.75" customHeight="1">
      <c r="A65" s="38" t="s">
        <v>213</v>
      </c>
      <c r="B65" s="38" t="s">
        <v>212</v>
      </c>
      <c r="C65" s="38">
        <v>0.0</v>
      </c>
      <c r="D65" s="39">
        <f t="shared" si="1"/>
        <v>-0.399091499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26"/>
    </row>
    <row r="66" ht="15.75" customHeight="1">
      <c r="A66" s="38" t="s">
        <v>93</v>
      </c>
      <c r="B66" s="38" t="s">
        <v>212</v>
      </c>
      <c r="C66" s="38">
        <v>3.0</v>
      </c>
      <c r="D66" s="39">
        <f t="shared" si="1"/>
        <v>-0.204412719</v>
      </c>
      <c r="E66" s="38">
        <v>0.0</v>
      </c>
      <c r="F66" s="38">
        <v>0.0</v>
      </c>
      <c r="G66" s="38">
        <v>0.0</v>
      </c>
      <c r="H66" s="38">
        <v>0.0</v>
      </c>
      <c r="I66" s="38">
        <v>214.0</v>
      </c>
      <c r="J66" s="38">
        <v>0.0</v>
      </c>
      <c r="K66" s="38">
        <v>80.0</v>
      </c>
      <c r="L66" s="38">
        <v>0.0</v>
      </c>
      <c r="M66" s="38">
        <v>0.0</v>
      </c>
      <c r="N66" s="38">
        <v>0.0</v>
      </c>
      <c r="O66" s="38">
        <v>10.0</v>
      </c>
      <c r="P66" s="38">
        <v>0.0</v>
      </c>
      <c r="Q66" s="38">
        <v>0.0</v>
      </c>
      <c r="R66" s="38">
        <v>307.0</v>
      </c>
      <c r="S66" s="26"/>
    </row>
    <row r="67" ht="15.75" customHeight="1">
      <c r="A67" s="38" t="s">
        <v>94</v>
      </c>
      <c r="B67" s="38" t="s">
        <v>212</v>
      </c>
      <c r="C67" s="38">
        <v>0.0</v>
      </c>
      <c r="D67" s="39">
        <f t="shared" si="1"/>
        <v>-0.399091499</v>
      </c>
      <c r="E67" s="38">
        <v>0.0</v>
      </c>
      <c r="F67" s="38">
        <v>5.0</v>
      </c>
      <c r="G67" s="38">
        <v>0.0</v>
      </c>
      <c r="H67" s="38">
        <v>0.0</v>
      </c>
      <c r="I67" s="38">
        <v>71.0</v>
      </c>
      <c r="J67" s="38">
        <v>153.0</v>
      </c>
      <c r="K67" s="38">
        <v>0.0</v>
      </c>
      <c r="L67" s="38">
        <v>30.0</v>
      </c>
      <c r="M67" s="38">
        <v>0.0</v>
      </c>
      <c r="N67" s="38">
        <v>0.0</v>
      </c>
      <c r="O67" s="38">
        <v>0.0</v>
      </c>
      <c r="P67" s="38">
        <v>0.0</v>
      </c>
      <c r="Q67" s="38">
        <v>0.0</v>
      </c>
      <c r="R67" s="38">
        <v>259.0</v>
      </c>
      <c r="S67" s="26"/>
    </row>
    <row r="68" ht="15.75" customHeight="1">
      <c r="A68" s="38" t="s">
        <v>95</v>
      </c>
      <c r="B68" s="38" t="s">
        <v>212</v>
      </c>
      <c r="C68" s="38">
        <v>2.0</v>
      </c>
      <c r="D68" s="39">
        <f t="shared" si="1"/>
        <v>-0.2693056457</v>
      </c>
      <c r="E68" s="38">
        <v>0.0</v>
      </c>
      <c r="F68" s="38">
        <v>2.0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200.0</v>
      </c>
      <c r="M68" s="38">
        <v>100.0</v>
      </c>
      <c r="N68" s="38">
        <v>0.0</v>
      </c>
      <c r="O68" s="38">
        <v>20.0</v>
      </c>
      <c r="P68" s="38">
        <v>0.0</v>
      </c>
      <c r="Q68" s="38">
        <v>0.0</v>
      </c>
      <c r="R68" s="38">
        <v>324.0</v>
      </c>
      <c r="S68" s="26"/>
    </row>
    <row r="69" ht="15.75" customHeight="1">
      <c r="A69" s="38" t="s">
        <v>96</v>
      </c>
      <c r="B69" s="38" t="s">
        <v>212</v>
      </c>
      <c r="C69" s="38">
        <v>5.0</v>
      </c>
      <c r="D69" s="39">
        <f t="shared" si="1"/>
        <v>-0.07462686567</v>
      </c>
      <c r="E69" s="38">
        <v>5.0</v>
      </c>
      <c r="F69" s="38">
        <v>10.0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6.0</v>
      </c>
      <c r="P69" s="38">
        <v>0.0</v>
      </c>
      <c r="Q69" s="38">
        <v>0.0</v>
      </c>
      <c r="R69" s="38">
        <v>26.0</v>
      </c>
      <c r="S69" s="26"/>
    </row>
    <row r="70" ht="15.75" customHeight="1">
      <c r="A70" s="38" t="s">
        <v>97</v>
      </c>
      <c r="B70" s="38" t="s">
        <v>212</v>
      </c>
      <c r="C70" s="38">
        <v>5.0</v>
      </c>
      <c r="D70" s="39">
        <f t="shared" si="1"/>
        <v>-0.07462686567</v>
      </c>
      <c r="E70" s="38">
        <v>25.0</v>
      </c>
      <c r="F70" s="38">
        <v>12.0</v>
      </c>
      <c r="G70" s="38">
        <v>0.0</v>
      </c>
      <c r="H70" s="38">
        <v>0.0</v>
      </c>
      <c r="I70" s="38">
        <v>71.0</v>
      </c>
      <c r="J70" s="38">
        <v>0.0</v>
      </c>
      <c r="K70" s="38">
        <v>0.0</v>
      </c>
      <c r="L70" s="38">
        <v>0.0</v>
      </c>
      <c r="M70" s="38">
        <v>300.0</v>
      </c>
      <c r="N70" s="38">
        <v>0.0</v>
      </c>
      <c r="O70" s="38">
        <v>0.0</v>
      </c>
      <c r="P70" s="38">
        <v>0.0</v>
      </c>
      <c r="Q70" s="38">
        <v>0.0</v>
      </c>
      <c r="R70" s="38">
        <v>413.0</v>
      </c>
      <c r="S70" s="26"/>
    </row>
    <row r="71" ht="15.75" customHeight="1">
      <c r="A71" s="38" t="s">
        <v>98</v>
      </c>
      <c r="B71" s="38" t="s">
        <v>212</v>
      </c>
      <c r="C71" s="38">
        <v>1.0</v>
      </c>
      <c r="D71" s="39">
        <f t="shared" si="1"/>
        <v>-0.3341985724</v>
      </c>
      <c r="E71" s="38">
        <v>0.0</v>
      </c>
      <c r="F71" s="38">
        <v>10.0</v>
      </c>
      <c r="G71" s="38">
        <v>0.0</v>
      </c>
      <c r="H71" s="38">
        <v>46.0</v>
      </c>
      <c r="I71" s="38">
        <v>213.0</v>
      </c>
      <c r="J71" s="38">
        <v>561.0</v>
      </c>
      <c r="K71" s="38">
        <v>0.0</v>
      </c>
      <c r="L71" s="38">
        <v>200.0</v>
      </c>
      <c r="M71" s="38">
        <v>450.0</v>
      </c>
      <c r="N71" s="38">
        <v>0.0</v>
      </c>
      <c r="O71" s="38">
        <v>0.0</v>
      </c>
      <c r="P71" s="38">
        <v>0.0</v>
      </c>
      <c r="Q71" s="38">
        <v>0.0</v>
      </c>
      <c r="R71" s="38">
        <v>1481.0</v>
      </c>
      <c r="S71" s="26"/>
    </row>
    <row r="72" ht="15.75" customHeight="1">
      <c r="A72" s="38" t="s">
        <v>100</v>
      </c>
      <c r="B72" s="38" t="s">
        <v>212</v>
      </c>
      <c r="C72" s="38">
        <v>5.0</v>
      </c>
      <c r="D72" s="39">
        <f t="shared" si="1"/>
        <v>-0.07462686567</v>
      </c>
      <c r="E72" s="38">
        <v>0.0</v>
      </c>
      <c r="F72" s="38">
        <v>0.0</v>
      </c>
      <c r="G72" s="38">
        <v>50.0</v>
      </c>
      <c r="H72" s="38">
        <v>0.0</v>
      </c>
      <c r="I72" s="38">
        <v>0.0</v>
      </c>
      <c r="J72" s="38">
        <v>102.0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5.0</v>
      </c>
      <c r="R72" s="38">
        <v>162.0</v>
      </c>
      <c r="S72" s="26"/>
    </row>
    <row r="73" ht="15.75" customHeight="1">
      <c r="A73" s="38" t="s">
        <v>101</v>
      </c>
      <c r="B73" s="38" t="s">
        <v>212</v>
      </c>
      <c r="C73" s="38">
        <v>25.0</v>
      </c>
      <c r="D73" s="39">
        <f t="shared" si="1"/>
        <v>1.223231668</v>
      </c>
      <c r="E73" s="38">
        <v>5.0</v>
      </c>
      <c r="F73" s="38">
        <v>0.0</v>
      </c>
      <c r="G73" s="38">
        <v>0.0</v>
      </c>
      <c r="H73" s="38">
        <v>0.0</v>
      </c>
      <c r="I73" s="38">
        <v>0.0</v>
      </c>
      <c r="J73" s="38">
        <v>51.0</v>
      </c>
      <c r="K73" s="38">
        <v>0.0</v>
      </c>
      <c r="L73" s="38">
        <v>0.0</v>
      </c>
      <c r="M73" s="38">
        <v>80.0</v>
      </c>
      <c r="N73" s="38">
        <v>20.0</v>
      </c>
      <c r="O73" s="38">
        <v>5.0</v>
      </c>
      <c r="P73" s="38">
        <v>0.0</v>
      </c>
      <c r="Q73" s="38">
        <v>0.0</v>
      </c>
      <c r="R73" s="38">
        <v>186.0</v>
      </c>
      <c r="S73" s="26"/>
    </row>
    <row r="74" ht="15.75" customHeight="1">
      <c r="A74" s="38" t="s">
        <v>102</v>
      </c>
      <c r="B74" s="38" t="s">
        <v>212</v>
      </c>
      <c r="C74" s="38">
        <v>0.0</v>
      </c>
      <c r="D74" s="39">
        <f t="shared" si="1"/>
        <v>-0.399091499</v>
      </c>
      <c r="E74" s="38">
        <v>0.0</v>
      </c>
      <c r="F74" s="38">
        <v>14.0</v>
      </c>
      <c r="G74" s="38">
        <v>0.0</v>
      </c>
      <c r="H74" s="38">
        <v>0.0</v>
      </c>
      <c r="I74" s="38">
        <v>0.0</v>
      </c>
      <c r="J74" s="38">
        <v>0.0</v>
      </c>
      <c r="K74" s="38">
        <v>0.0</v>
      </c>
      <c r="L74" s="38">
        <v>15.0</v>
      </c>
      <c r="M74" s="38">
        <v>0.0</v>
      </c>
      <c r="N74" s="38">
        <v>0.0</v>
      </c>
      <c r="O74" s="38">
        <v>6.0</v>
      </c>
      <c r="P74" s="38">
        <v>0.0</v>
      </c>
      <c r="Q74" s="38">
        <v>0.0</v>
      </c>
      <c r="R74" s="38">
        <v>35.0</v>
      </c>
      <c r="S74" s="26"/>
    </row>
    <row r="75" ht="15.75" customHeight="1">
      <c r="A75" s="38" t="s">
        <v>103</v>
      </c>
      <c r="B75" s="38" t="s">
        <v>212</v>
      </c>
      <c r="C75" s="38">
        <v>0.0</v>
      </c>
      <c r="D75" s="39">
        <f t="shared" si="1"/>
        <v>-0.399091499</v>
      </c>
      <c r="E75" s="38">
        <v>20.0</v>
      </c>
      <c r="F75" s="38">
        <v>2.0</v>
      </c>
      <c r="G75" s="38">
        <v>25.0</v>
      </c>
      <c r="H75" s="38">
        <v>0.0</v>
      </c>
      <c r="I75" s="38">
        <v>0.0</v>
      </c>
      <c r="J75" s="38">
        <v>0.0</v>
      </c>
      <c r="K75" s="38">
        <v>120.0</v>
      </c>
      <c r="L75" s="38">
        <v>0.0</v>
      </c>
      <c r="M75" s="38">
        <v>20.0</v>
      </c>
      <c r="N75" s="38">
        <v>0.0</v>
      </c>
      <c r="O75" s="38">
        <v>0.0</v>
      </c>
      <c r="P75" s="38">
        <v>0.0</v>
      </c>
      <c r="Q75" s="38">
        <v>0.0</v>
      </c>
      <c r="R75" s="38">
        <v>187.0</v>
      </c>
      <c r="S75" s="26"/>
    </row>
    <row r="76" ht="15.75" customHeight="1">
      <c r="A76" s="38" t="s">
        <v>104</v>
      </c>
      <c r="B76" s="38" t="s">
        <v>212</v>
      </c>
      <c r="C76" s="38">
        <v>0.0</v>
      </c>
      <c r="D76" s="39">
        <f t="shared" si="1"/>
        <v>-0.399091499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51.0</v>
      </c>
      <c r="K76" s="38">
        <v>50.0</v>
      </c>
      <c r="L76" s="38">
        <v>25.0</v>
      </c>
      <c r="M76" s="38">
        <v>100.0</v>
      </c>
      <c r="N76" s="38">
        <v>0.0</v>
      </c>
      <c r="O76" s="38">
        <v>10.0</v>
      </c>
      <c r="P76" s="38">
        <v>5.0</v>
      </c>
      <c r="Q76" s="38">
        <v>0.0</v>
      </c>
      <c r="R76" s="38">
        <v>241.0</v>
      </c>
      <c r="S76" s="26"/>
    </row>
    <row r="77" ht="15.75" customHeight="1">
      <c r="A77" s="38" t="s">
        <v>105</v>
      </c>
      <c r="B77" s="38" t="s">
        <v>212</v>
      </c>
      <c r="C77" s="38">
        <v>3.0</v>
      </c>
      <c r="D77" s="39">
        <f t="shared" si="1"/>
        <v>-0.204412719</v>
      </c>
      <c r="E77" s="38">
        <v>0.0</v>
      </c>
      <c r="F77" s="38">
        <v>3.0</v>
      </c>
      <c r="G77" s="38">
        <v>0.0</v>
      </c>
      <c r="H77" s="38">
        <v>0.0</v>
      </c>
      <c r="I77" s="38">
        <v>0.0</v>
      </c>
      <c r="J77" s="38">
        <v>102.0</v>
      </c>
      <c r="K77" s="38">
        <v>0.0</v>
      </c>
      <c r="L77" s="38">
        <v>25.0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133.0</v>
      </c>
      <c r="S77" s="26"/>
    </row>
    <row r="78" ht="15.75" customHeight="1">
      <c r="A78" s="38" t="s">
        <v>106</v>
      </c>
      <c r="B78" s="38" t="s">
        <v>212</v>
      </c>
      <c r="C78" s="38">
        <v>20.0</v>
      </c>
      <c r="D78" s="39">
        <f t="shared" si="1"/>
        <v>0.8987670344</v>
      </c>
      <c r="E78" s="38">
        <v>0.0</v>
      </c>
      <c r="F78" s="38">
        <v>100.0</v>
      </c>
      <c r="G78" s="38">
        <v>0.0</v>
      </c>
      <c r="H78" s="38">
        <v>0.0</v>
      </c>
      <c r="I78" s="38">
        <v>0.0</v>
      </c>
      <c r="J78" s="38">
        <v>51.0</v>
      </c>
      <c r="K78" s="38">
        <v>0.0</v>
      </c>
      <c r="L78" s="38">
        <v>0.0</v>
      </c>
      <c r="M78" s="38">
        <v>300.0</v>
      </c>
      <c r="N78" s="38">
        <v>0.0</v>
      </c>
      <c r="O78" s="38">
        <v>20.0</v>
      </c>
      <c r="P78" s="38">
        <v>0.0</v>
      </c>
      <c r="Q78" s="38">
        <v>0.0</v>
      </c>
      <c r="R78" s="38">
        <v>491.0</v>
      </c>
      <c r="S78" s="26"/>
    </row>
    <row r="79" ht="15.75" customHeight="1">
      <c r="A79" s="38" t="s">
        <v>107</v>
      </c>
      <c r="B79" s="38" t="s">
        <v>212</v>
      </c>
      <c r="C79" s="38">
        <v>4.0</v>
      </c>
      <c r="D79" s="39">
        <f t="shared" si="1"/>
        <v>-0.1395197923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140.0</v>
      </c>
      <c r="N79" s="38">
        <v>15.0</v>
      </c>
      <c r="O79" s="38">
        <v>6.0</v>
      </c>
      <c r="P79" s="38">
        <v>0.0</v>
      </c>
      <c r="Q79" s="38">
        <v>0.0</v>
      </c>
      <c r="R79" s="38">
        <v>165.0</v>
      </c>
      <c r="S79" s="26"/>
    </row>
    <row r="80" ht="15.75" customHeight="1">
      <c r="A80" s="38" t="s">
        <v>108</v>
      </c>
      <c r="B80" s="38" t="s">
        <v>212</v>
      </c>
      <c r="C80" s="38">
        <v>0.0</v>
      </c>
      <c r="D80" s="39">
        <f t="shared" si="1"/>
        <v>-0.399091499</v>
      </c>
      <c r="E80" s="38">
        <v>0.0</v>
      </c>
      <c r="F80" s="38">
        <v>0.0</v>
      </c>
      <c r="G80" s="38">
        <v>0.0</v>
      </c>
      <c r="H80" s="38">
        <v>0.0</v>
      </c>
      <c r="I80" s="38">
        <v>142.0</v>
      </c>
      <c r="J80" s="38">
        <v>51.0</v>
      </c>
      <c r="K80" s="38">
        <v>0.0</v>
      </c>
      <c r="L80" s="38">
        <v>25.0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218.0</v>
      </c>
      <c r="S80" s="26"/>
    </row>
    <row r="81" ht="15.75" customHeight="1">
      <c r="A81" s="38" t="s">
        <v>109</v>
      </c>
      <c r="B81" s="38" t="s">
        <v>212</v>
      </c>
      <c r="C81" s="38">
        <v>0.0</v>
      </c>
      <c r="D81" s="39">
        <f t="shared" si="1"/>
        <v>-0.399091499</v>
      </c>
      <c r="E81" s="38">
        <v>20.0</v>
      </c>
      <c r="F81" s="38">
        <v>2.0</v>
      </c>
      <c r="G81" s="38">
        <v>0.0</v>
      </c>
      <c r="H81" s="38">
        <v>0.0</v>
      </c>
      <c r="I81" s="38">
        <v>0.0</v>
      </c>
      <c r="J81" s="38">
        <v>0.0</v>
      </c>
      <c r="K81" s="38">
        <v>110.0</v>
      </c>
      <c r="L81" s="38">
        <v>0.0</v>
      </c>
      <c r="M81" s="38">
        <v>0.0</v>
      </c>
      <c r="N81" s="38">
        <v>30.0</v>
      </c>
      <c r="O81" s="38">
        <v>0.0</v>
      </c>
      <c r="P81" s="38">
        <v>0.0</v>
      </c>
      <c r="Q81" s="38">
        <v>2.0</v>
      </c>
      <c r="R81" s="38">
        <v>164.0</v>
      </c>
      <c r="S81" s="26"/>
    </row>
    <row r="82" ht="15.75" customHeight="1">
      <c r="A82" s="38" t="s">
        <v>110</v>
      </c>
      <c r="B82" s="38" t="s">
        <v>212</v>
      </c>
      <c r="C82" s="38">
        <v>0.0</v>
      </c>
      <c r="D82" s="39">
        <f t="shared" si="1"/>
        <v>-0.399091499</v>
      </c>
      <c r="E82" s="38">
        <v>1.0</v>
      </c>
      <c r="F82" s="38">
        <v>3.0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5.0</v>
      </c>
      <c r="O82" s="38">
        <v>0.0</v>
      </c>
      <c r="P82" s="38">
        <v>0.0</v>
      </c>
      <c r="Q82" s="38">
        <v>0.0</v>
      </c>
      <c r="R82" s="38">
        <v>9.0</v>
      </c>
      <c r="S82" s="26"/>
    </row>
    <row r="83" ht="15.75" customHeight="1">
      <c r="A83" s="38" t="s">
        <v>214</v>
      </c>
      <c r="B83" s="38" t="s">
        <v>212</v>
      </c>
      <c r="C83" s="38">
        <v>0.0</v>
      </c>
      <c r="D83" s="39">
        <f t="shared" si="1"/>
        <v>-0.399091499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26"/>
    </row>
    <row r="84" ht="15.75" customHeight="1">
      <c r="A84" s="38" t="s">
        <v>111</v>
      </c>
      <c r="B84" s="38" t="s">
        <v>212</v>
      </c>
      <c r="C84" s="38">
        <v>0.0</v>
      </c>
      <c r="D84" s="39">
        <f t="shared" si="1"/>
        <v>-0.399091499</v>
      </c>
      <c r="E84" s="38">
        <v>0.0</v>
      </c>
      <c r="F84" s="38">
        <v>0.0</v>
      </c>
      <c r="G84" s="38">
        <v>0.0</v>
      </c>
      <c r="H84" s="38">
        <v>0.0</v>
      </c>
      <c r="I84" s="38">
        <v>71.0</v>
      </c>
      <c r="J84" s="38">
        <v>0.0</v>
      </c>
      <c r="K84" s="38">
        <v>0.0</v>
      </c>
      <c r="L84" s="38">
        <v>22.0</v>
      </c>
      <c r="M84" s="38">
        <v>70.0</v>
      </c>
      <c r="N84" s="38">
        <v>0.0</v>
      </c>
      <c r="O84" s="38">
        <v>0.0</v>
      </c>
      <c r="P84" s="38">
        <v>0.0</v>
      </c>
      <c r="Q84" s="38">
        <v>0.0</v>
      </c>
      <c r="R84" s="38">
        <v>163.0</v>
      </c>
      <c r="S84" s="26"/>
    </row>
    <row r="85" ht="15.75" customHeight="1">
      <c r="A85" s="38" t="s">
        <v>112</v>
      </c>
      <c r="B85" s="38" t="s">
        <v>212</v>
      </c>
      <c r="C85" s="38">
        <v>0.0</v>
      </c>
      <c r="D85" s="39">
        <f t="shared" si="1"/>
        <v>-0.399091499</v>
      </c>
      <c r="E85" s="38">
        <v>10.0</v>
      </c>
      <c r="F85" s="38">
        <v>0.0</v>
      </c>
      <c r="G85" s="38">
        <v>0.0</v>
      </c>
      <c r="H85" s="38">
        <v>0.0</v>
      </c>
      <c r="I85" s="38">
        <v>0.0</v>
      </c>
      <c r="J85" s="38">
        <v>0.0</v>
      </c>
      <c r="K85" s="38">
        <v>130.0</v>
      </c>
      <c r="L85" s="38">
        <v>0.0</v>
      </c>
      <c r="M85" s="38">
        <v>0.0</v>
      </c>
      <c r="N85" s="38">
        <v>0.0</v>
      </c>
      <c r="O85" s="38">
        <v>1.0</v>
      </c>
      <c r="P85" s="38">
        <v>0.0</v>
      </c>
      <c r="Q85" s="38">
        <v>0.0</v>
      </c>
      <c r="R85" s="38">
        <v>141.0</v>
      </c>
      <c r="S85" s="26"/>
    </row>
    <row r="86" ht="15.75" customHeight="1">
      <c r="A86" s="38" t="s">
        <v>113</v>
      </c>
      <c r="B86" s="38" t="s">
        <v>212</v>
      </c>
      <c r="C86" s="38">
        <v>0.0</v>
      </c>
      <c r="D86" s="39">
        <f t="shared" si="1"/>
        <v>-0.399091499</v>
      </c>
      <c r="E86" s="38">
        <v>0.0</v>
      </c>
      <c r="F86" s="38">
        <v>3.0</v>
      </c>
      <c r="G86" s="38">
        <v>0.0</v>
      </c>
      <c r="H86" s="38">
        <v>0.0</v>
      </c>
      <c r="I86" s="38">
        <v>0.0</v>
      </c>
      <c r="J86" s="38">
        <v>102.0</v>
      </c>
      <c r="K86" s="38">
        <v>0.0</v>
      </c>
      <c r="L86" s="38">
        <v>20.0</v>
      </c>
      <c r="M86" s="38">
        <v>75.0</v>
      </c>
      <c r="N86" s="38">
        <v>4.0</v>
      </c>
      <c r="O86" s="38">
        <v>0.0</v>
      </c>
      <c r="P86" s="38">
        <v>0.0</v>
      </c>
      <c r="Q86" s="38">
        <v>0.0</v>
      </c>
      <c r="R86" s="38">
        <v>204.0</v>
      </c>
      <c r="S86" s="26"/>
    </row>
    <row r="87" ht="15.75" customHeight="1">
      <c r="A87" s="38" t="s">
        <v>114</v>
      </c>
      <c r="B87" s="38" t="s">
        <v>212</v>
      </c>
      <c r="C87" s="38">
        <v>0.0</v>
      </c>
      <c r="D87" s="39">
        <f t="shared" si="1"/>
        <v>-0.399091499</v>
      </c>
      <c r="E87" s="38">
        <v>0.0</v>
      </c>
      <c r="F87" s="38">
        <v>40.0</v>
      </c>
      <c r="G87" s="38">
        <v>0.0</v>
      </c>
      <c r="H87" s="38">
        <v>0.0</v>
      </c>
      <c r="I87" s="38">
        <v>0.0</v>
      </c>
      <c r="J87" s="38">
        <v>0.0</v>
      </c>
      <c r="K87" s="38">
        <v>0.0</v>
      </c>
      <c r="L87" s="38">
        <v>0.0</v>
      </c>
      <c r="M87" s="38">
        <v>150.0</v>
      </c>
      <c r="N87" s="38">
        <v>5.0</v>
      </c>
      <c r="O87" s="38">
        <v>0.0</v>
      </c>
      <c r="P87" s="38">
        <v>0.0</v>
      </c>
      <c r="Q87" s="38">
        <v>0.0</v>
      </c>
      <c r="R87" s="38">
        <v>195.0</v>
      </c>
      <c r="S87" s="26"/>
    </row>
    <row r="88" ht="15.75" customHeight="1">
      <c r="A88" s="38" t="s">
        <v>115</v>
      </c>
      <c r="B88" s="38" t="s">
        <v>212</v>
      </c>
      <c r="C88" s="38">
        <v>1.0</v>
      </c>
      <c r="D88" s="39">
        <f t="shared" si="1"/>
        <v>-0.3341985724</v>
      </c>
      <c r="E88" s="38">
        <v>0.0</v>
      </c>
      <c r="F88" s="38">
        <v>0.0</v>
      </c>
      <c r="G88" s="38">
        <v>0.0</v>
      </c>
      <c r="H88" s="38">
        <v>0.0</v>
      </c>
      <c r="I88" s="38">
        <v>0.0</v>
      </c>
      <c r="J88" s="38">
        <v>51.0</v>
      </c>
      <c r="K88" s="38">
        <v>0.0</v>
      </c>
      <c r="L88" s="38">
        <v>0.0</v>
      </c>
      <c r="M88" s="38">
        <v>18.0</v>
      </c>
      <c r="N88" s="38">
        <v>8.0</v>
      </c>
      <c r="O88" s="38">
        <v>0.0</v>
      </c>
      <c r="P88" s="38">
        <v>0.0</v>
      </c>
      <c r="Q88" s="38">
        <v>0.0</v>
      </c>
      <c r="R88" s="38">
        <v>78.0</v>
      </c>
      <c r="S88" s="26"/>
    </row>
    <row r="89" ht="15.75" customHeight="1">
      <c r="A89" s="38" t="s">
        <v>116</v>
      </c>
      <c r="B89" s="38" t="s">
        <v>212</v>
      </c>
      <c r="C89" s="38">
        <v>4.0</v>
      </c>
      <c r="D89" s="39">
        <f t="shared" si="1"/>
        <v>-0.1395197923</v>
      </c>
      <c r="E89" s="38">
        <v>0.0</v>
      </c>
      <c r="F89" s="38">
        <v>0.0</v>
      </c>
      <c r="G89" s="38">
        <v>2.0</v>
      </c>
      <c r="H89" s="38">
        <v>0.0</v>
      </c>
      <c r="I89" s="38">
        <v>0.0</v>
      </c>
      <c r="J89" s="38">
        <v>0.0</v>
      </c>
      <c r="K89" s="38">
        <v>0.0</v>
      </c>
      <c r="L89" s="38">
        <v>24.0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8">
        <v>30.0</v>
      </c>
      <c r="S89" s="26"/>
    </row>
    <row r="90" ht="15.75" customHeight="1">
      <c r="A90" s="38" t="s">
        <v>215</v>
      </c>
      <c r="B90" s="38" t="s">
        <v>212</v>
      </c>
      <c r="C90" s="38">
        <v>0.0</v>
      </c>
      <c r="D90" s="39">
        <f t="shared" si="1"/>
        <v>-0.399091499</v>
      </c>
      <c r="E90" s="38">
        <v>0.0</v>
      </c>
      <c r="F90" s="38">
        <v>0.0</v>
      </c>
      <c r="G90" s="38">
        <v>0.0</v>
      </c>
      <c r="H90" s="38">
        <v>0.0</v>
      </c>
      <c r="I90" s="38">
        <v>0.0</v>
      </c>
      <c r="J90" s="38">
        <v>0.0</v>
      </c>
      <c r="K90" s="38">
        <v>0.0</v>
      </c>
      <c r="L90" s="38">
        <v>0.0</v>
      </c>
      <c r="M90" s="38">
        <v>0.0</v>
      </c>
      <c r="N90" s="38">
        <v>0.0</v>
      </c>
      <c r="O90" s="38">
        <v>0.0</v>
      </c>
      <c r="P90" s="38">
        <v>0.0</v>
      </c>
      <c r="Q90" s="38">
        <v>0.0</v>
      </c>
      <c r="R90" s="38">
        <v>0.0</v>
      </c>
      <c r="S90" s="26"/>
    </row>
    <row r="91" ht="15.75" customHeight="1">
      <c r="A91" s="38" t="s">
        <v>216</v>
      </c>
      <c r="B91" s="38" t="s">
        <v>212</v>
      </c>
      <c r="C91" s="38">
        <v>0.0</v>
      </c>
      <c r="D91" s="39">
        <f t="shared" si="1"/>
        <v>-0.399091499</v>
      </c>
      <c r="E91" s="38">
        <v>0.0</v>
      </c>
      <c r="F91" s="38">
        <v>0.0</v>
      </c>
      <c r="G91" s="38">
        <v>0.0</v>
      </c>
      <c r="H91" s="38">
        <v>0.0</v>
      </c>
      <c r="I91" s="38">
        <v>0.0</v>
      </c>
      <c r="J91" s="38">
        <v>0.0</v>
      </c>
      <c r="K91" s="38">
        <v>0.0</v>
      </c>
      <c r="L91" s="38">
        <v>0.0</v>
      </c>
      <c r="M91" s="38">
        <v>0.0</v>
      </c>
      <c r="N91" s="38">
        <v>0.0</v>
      </c>
      <c r="O91" s="38">
        <v>0.0</v>
      </c>
      <c r="P91" s="38">
        <v>0.0</v>
      </c>
      <c r="Q91" s="38">
        <v>0.0</v>
      </c>
      <c r="R91" s="38">
        <v>0.0</v>
      </c>
      <c r="S91" s="26"/>
    </row>
    <row r="92" ht="15.75" customHeight="1">
      <c r="A92" s="38" t="s">
        <v>217</v>
      </c>
      <c r="B92" s="38" t="s">
        <v>212</v>
      </c>
      <c r="C92" s="38">
        <v>0.0</v>
      </c>
      <c r="D92" s="39">
        <f t="shared" si="1"/>
        <v>-0.399091499</v>
      </c>
      <c r="E92" s="38">
        <v>0.0</v>
      </c>
      <c r="F92" s="38">
        <v>0.0</v>
      </c>
      <c r="G92" s="38">
        <v>0.0</v>
      </c>
      <c r="H92" s="38">
        <v>0.0</v>
      </c>
      <c r="I92" s="38">
        <v>0.0</v>
      </c>
      <c r="J92" s="38">
        <v>0.0</v>
      </c>
      <c r="K92" s="38">
        <v>0.0</v>
      </c>
      <c r="L92" s="38">
        <v>0.0</v>
      </c>
      <c r="M92" s="38">
        <v>0.0</v>
      </c>
      <c r="N92" s="38">
        <v>0.0</v>
      </c>
      <c r="O92" s="38">
        <v>0.0</v>
      </c>
      <c r="P92" s="38">
        <v>0.0</v>
      </c>
      <c r="Q92" s="38">
        <v>0.0</v>
      </c>
      <c r="R92" s="38">
        <v>0.0</v>
      </c>
      <c r="S92" s="26"/>
    </row>
    <row r="93" ht="15.75" customHeight="1">
      <c r="A93" s="38" t="s">
        <v>117</v>
      </c>
      <c r="B93" s="38" t="s">
        <v>212</v>
      </c>
      <c r="C93" s="38">
        <v>2.0</v>
      </c>
      <c r="D93" s="39">
        <f t="shared" si="1"/>
        <v>-0.2693056457</v>
      </c>
      <c r="E93" s="38">
        <v>0.0</v>
      </c>
      <c r="F93" s="38">
        <v>6.0</v>
      </c>
      <c r="G93" s="38">
        <v>0.0</v>
      </c>
      <c r="H93" s="38">
        <v>0.0</v>
      </c>
      <c r="I93" s="38">
        <v>71.0</v>
      </c>
      <c r="J93" s="38">
        <v>0.0</v>
      </c>
      <c r="K93" s="38">
        <v>50.0</v>
      </c>
      <c r="L93" s="38">
        <v>0.0</v>
      </c>
      <c r="M93" s="38">
        <v>100.0</v>
      </c>
      <c r="N93" s="38">
        <v>0.0</v>
      </c>
      <c r="O93" s="38">
        <v>0.0</v>
      </c>
      <c r="P93" s="38">
        <v>5.0</v>
      </c>
      <c r="Q93" s="38">
        <v>0.0</v>
      </c>
      <c r="R93" s="38">
        <v>234.0</v>
      </c>
      <c r="S93" s="26"/>
    </row>
    <row r="94" ht="15.75" customHeight="1">
      <c r="A94" s="38" t="s">
        <v>118</v>
      </c>
      <c r="B94" s="38" t="s">
        <v>212</v>
      </c>
      <c r="C94" s="38">
        <v>2.0</v>
      </c>
      <c r="D94" s="39">
        <f t="shared" si="1"/>
        <v>-0.2693056457</v>
      </c>
      <c r="E94" s="38">
        <v>0.0</v>
      </c>
      <c r="F94" s="38">
        <v>15.0</v>
      </c>
      <c r="G94" s="38">
        <v>0.0</v>
      </c>
      <c r="H94" s="38">
        <v>0.0</v>
      </c>
      <c r="I94" s="38">
        <v>71.0</v>
      </c>
      <c r="J94" s="38">
        <v>0.0</v>
      </c>
      <c r="K94" s="38">
        <v>50.0</v>
      </c>
      <c r="L94" s="38">
        <v>0.0</v>
      </c>
      <c r="M94" s="38">
        <v>0.0</v>
      </c>
      <c r="N94" s="38">
        <v>7.0</v>
      </c>
      <c r="O94" s="38">
        <v>5.0</v>
      </c>
      <c r="P94" s="38">
        <v>0.0</v>
      </c>
      <c r="Q94" s="38">
        <v>0.0</v>
      </c>
      <c r="R94" s="38">
        <v>150.0</v>
      </c>
      <c r="S94" s="26"/>
    </row>
    <row r="95" ht="15.75" customHeight="1">
      <c r="A95" s="38" t="s">
        <v>119</v>
      </c>
      <c r="B95" s="38" t="s">
        <v>218</v>
      </c>
      <c r="C95" s="38">
        <v>10.0</v>
      </c>
      <c r="D95" s="39">
        <f t="shared" si="1"/>
        <v>0.2498377677</v>
      </c>
      <c r="E95" s="38">
        <v>2.0</v>
      </c>
      <c r="F95" s="38">
        <v>0.0</v>
      </c>
      <c r="G95" s="38">
        <v>0.0</v>
      </c>
      <c r="H95" s="38">
        <v>0.0</v>
      </c>
      <c r="I95" s="38">
        <v>0.0</v>
      </c>
      <c r="J95" s="38">
        <v>0.0</v>
      </c>
      <c r="K95" s="38">
        <v>0.0</v>
      </c>
      <c r="L95" s="38">
        <v>0.0</v>
      </c>
      <c r="M95" s="38">
        <v>20.0</v>
      </c>
      <c r="N95" s="38">
        <v>0.0</v>
      </c>
      <c r="O95" s="38">
        <v>6.0</v>
      </c>
      <c r="P95" s="38">
        <v>0.0</v>
      </c>
      <c r="Q95" s="38">
        <v>0.0</v>
      </c>
      <c r="R95" s="38">
        <v>38.0</v>
      </c>
      <c r="S95" s="26"/>
    </row>
    <row r="96" ht="15.75" customHeight="1">
      <c r="A96" s="38" t="s">
        <v>120</v>
      </c>
      <c r="B96" s="38" t="s">
        <v>218</v>
      </c>
      <c r="C96" s="38">
        <v>0.0</v>
      </c>
      <c r="D96" s="39">
        <f t="shared" si="1"/>
        <v>-0.399091499</v>
      </c>
      <c r="E96" s="38">
        <v>0.0</v>
      </c>
      <c r="F96" s="38">
        <v>0.0</v>
      </c>
      <c r="G96" s="38">
        <v>0.0</v>
      </c>
      <c r="H96" s="38">
        <v>0.0</v>
      </c>
      <c r="I96" s="38">
        <v>71.0</v>
      </c>
      <c r="J96" s="38">
        <v>0.0</v>
      </c>
      <c r="K96" s="38">
        <v>25.0</v>
      </c>
      <c r="L96" s="38">
        <v>0.0</v>
      </c>
      <c r="M96" s="38">
        <v>20.0</v>
      </c>
      <c r="N96" s="38">
        <v>0.0</v>
      </c>
      <c r="O96" s="38">
        <v>0.0</v>
      </c>
      <c r="P96" s="38">
        <v>0.0</v>
      </c>
      <c r="Q96" s="38">
        <v>0.0</v>
      </c>
      <c r="R96" s="38">
        <v>116.0</v>
      </c>
      <c r="S96" s="26"/>
    </row>
    <row r="97" ht="15.75" customHeight="1">
      <c r="A97" s="38" t="s">
        <v>121</v>
      </c>
      <c r="B97" s="38" t="s">
        <v>218</v>
      </c>
      <c r="C97" s="38">
        <v>12.0</v>
      </c>
      <c r="D97" s="39">
        <f t="shared" si="1"/>
        <v>0.379623621</v>
      </c>
      <c r="E97" s="38">
        <v>2.0</v>
      </c>
      <c r="F97" s="38">
        <v>2.0</v>
      </c>
      <c r="G97" s="38">
        <v>0.0</v>
      </c>
      <c r="H97" s="38">
        <v>46.0</v>
      </c>
      <c r="I97" s="38">
        <v>0.0</v>
      </c>
      <c r="J97" s="38">
        <v>0.0</v>
      </c>
      <c r="K97" s="38">
        <v>200.0</v>
      </c>
      <c r="L97" s="38">
        <v>0.0</v>
      </c>
      <c r="M97" s="38">
        <v>0.0</v>
      </c>
      <c r="N97" s="38">
        <v>0.0</v>
      </c>
      <c r="O97" s="38">
        <v>20.0</v>
      </c>
      <c r="P97" s="38">
        <v>0.0</v>
      </c>
      <c r="Q97" s="38">
        <v>0.0</v>
      </c>
      <c r="R97" s="38">
        <v>282.0</v>
      </c>
      <c r="S97" s="26"/>
    </row>
    <row r="98" ht="15.75" customHeight="1">
      <c r="A98" s="38" t="s">
        <v>122</v>
      </c>
      <c r="B98" s="38" t="s">
        <v>218</v>
      </c>
      <c r="C98" s="38">
        <v>12.0</v>
      </c>
      <c r="D98" s="39">
        <f t="shared" si="1"/>
        <v>0.379623621</v>
      </c>
      <c r="E98" s="38">
        <v>20.0</v>
      </c>
      <c r="F98" s="38">
        <v>0.0</v>
      </c>
      <c r="G98" s="38">
        <v>0.0</v>
      </c>
      <c r="H98" s="38">
        <v>0.0</v>
      </c>
      <c r="I98" s="38">
        <v>0.0</v>
      </c>
      <c r="J98" s="38">
        <v>0.0</v>
      </c>
      <c r="K98" s="38">
        <v>0.0</v>
      </c>
      <c r="L98" s="38">
        <v>70.0</v>
      </c>
      <c r="M98" s="38">
        <v>0.0</v>
      </c>
      <c r="N98" s="38">
        <v>0.0</v>
      </c>
      <c r="O98" s="38">
        <v>6.0</v>
      </c>
      <c r="P98" s="38">
        <v>0.0</v>
      </c>
      <c r="Q98" s="38">
        <v>0.0</v>
      </c>
      <c r="R98" s="38">
        <v>108.0</v>
      </c>
      <c r="S98" s="26"/>
    </row>
    <row r="99" ht="15.75" customHeight="1">
      <c r="A99" s="38" t="s">
        <v>123</v>
      </c>
      <c r="B99" s="38" t="s">
        <v>218</v>
      </c>
      <c r="C99" s="38">
        <v>0.0</v>
      </c>
      <c r="D99" s="39">
        <f t="shared" si="1"/>
        <v>-0.399091499</v>
      </c>
      <c r="E99" s="38">
        <v>0.0</v>
      </c>
      <c r="F99" s="38">
        <v>1.0</v>
      </c>
      <c r="G99" s="38">
        <v>0.0</v>
      </c>
      <c r="H99" s="38">
        <v>0.0</v>
      </c>
      <c r="I99" s="38">
        <v>0.0</v>
      </c>
      <c r="J99" s="38">
        <v>0.0</v>
      </c>
      <c r="K99" s="38">
        <v>0.0</v>
      </c>
      <c r="L99" s="38">
        <v>0.0</v>
      </c>
      <c r="M99" s="38">
        <v>50.0</v>
      </c>
      <c r="N99" s="38">
        <v>25.0</v>
      </c>
      <c r="O99" s="38">
        <v>0.0</v>
      </c>
      <c r="P99" s="38">
        <v>0.0</v>
      </c>
      <c r="Q99" s="38">
        <v>0.0</v>
      </c>
      <c r="R99" s="38">
        <v>76.0</v>
      </c>
      <c r="S99" s="26"/>
    </row>
    <row r="100" ht="15.75" customHeight="1">
      <c r="A100" s="38" t="s">
        <v>124</v>
      </c>
      <c r="B100" s="38" t="s">
        <v>218</v>
      </c>
      <c r="C100" s="38">
        <v>0.0</v>
      </c>
      <c r="D100" s="39">
        <f t="shared" si="1"/>
        <v>-0.399091499</v>
      </c>
      <c r="E100" s="38">
        <v>8.0</v>
      </c>
      <c r="F100" s="38">
        <v>0.0</v>
      </c>
      <c r="G100" s="38">
        <v>0.0</v>
      </c>
      <c r="H100" s="38">
        <v>0.0</v>
      </c>
      <c r="I100" s="38">
        <v>72.0</v>
      </c>
      <c r="J100" s="38">
        <v>52.0</v>
      </c>
      <c r="K100" s="38">
        <v>0.0</v>
      </c>
      <c r="L100" s="38">
        <v>150.0</v>
      </c>
      <c r="M100" s="38">
        <v>0.0</v>
      </c>
      <c r="N100" s="38">
        <v>2.0</v>
      </c>
      <c r="O100" s="38">
        <v>6.0</v>
      </c>
      <c r="P100" s="38">
        <v>0.0</v>
      </c>
      <c r="Q100" s="38">
        <v>0.0</v>
      </c>
      <c r="R100" s="38">
        <v>290.0</v>
      </c>
      <c r="S100" s="26"/>
    </row>
    <row r="101" ht="15.75" customHeight="1">
      <c r="A101" s="38" t="s">
        <v>125</v>
      </c>
      <c r="B101" s="38" t="s">
        <v>218</v>
      </c>
      <c r="C101" s="38">
        <v>12.0</v>
      </c>
      <c r="D101" s="39">
        <f t="shared" si="1"/>
        <v>0.379623621</v>
      </c>
      <c r="E101" s="38">
        <v>0.0</v>
      </c>
      <c r="F101" s="38">
        <v>0.0</v>
      </c>
      <c r="G101" s="38">
        <v>3.0</v>
      </c>
      <c r="H101" s="38">
        <v>0.0</v>
      </c>
      <c r="I101" s="38">
        <v>0.0</v>
      </c>
      <c r="J101" s="38">
        <v>0.0</v>
      </c>
      <c r="K101" s="38">
        <v>0.0</v>
      </c>
      <c r="L101" s="38">
        <v>0.0</v>
      </c>
      <c r="M101" s="38">
        <v>200.0</v>
      </c>
      <c r="N101" s="38">
        <v>0.0</v>
      </c>
      <c r="O101" s="38">
        <v>10.0</v>
      </c>
      <c r="P101" s="38">
        <v>0.0</v>
      </c>
      <c r="Q101" s="38">
        <v>0.0</v>
      </c>
      <c r="R101" s="38">
        <v>225.0</v>
      </c>
      <c r="S101" s="26"/>
    </row>
    <row r="102" ht="15.75" customHeight="1">
      <c r="A102" s="38" t="s">
        <v>126</v>
      </c>
      <c r="B102" s="38" t="s">
        <v>218</v>
      </c>
      <c r="C102" s="38">
        <v>12.0</v>
      </c>
      <c r="D102" s="39">
        <f t="shared" si="1"/>
        <v>0.379623621</v>
      </c>
      <c r="E102" s="38">
        <v>2.0</v>
      </c>
      <c r="F102" s="38">
        <v>0.0</v>
      </c>
      <c r="G102" s="38">
        <v>0.0</v>
      </c>
      <c r="H102" s="38">
        <v>46.0</v>
      </c>
      <c r="I102" s="38">
        <v>0.0</v>
      </c>
      <c r="J102" s="38">
        <v>102.0</v>
      </c>
      <c r="K102" s="38">
        <v>0.0</v>
      </c>
      <c r="L102" s="38">
        <v>20.0</v>
      </c>
      <c r="M102" s="38">
        <v>0.0</v>
      </c>
      <c r="N102" s="38">
        <v>0.0</v>
      </c>
      <c r="O102" s="38">
        <v>0.0</v>
      </c>
      <c r="P102" s="38">
        <v>0.0</v>
      </c>
      <c r="Q102" s="38">
        <v>0.0</v>
      </c>
      <c r="R102" s="38">
        <v>182.0</v>
      </c>
      <c r="S102" s="26"/>
    </row>
    <row r="103" ht="15.75" customHeight="1">
      <c r="A103" s="38" t="s">
        <v>127</v>
      </c>
      <c r="B103" s="38" t="s">
        <v>218</v>
      </c>
      <c r="C103" s="38">
        <v>2.0</v>
      </c>
      <c r="D103" s="39">
        <f t="shared" si="1"/>
        <v>-0.2693056457</v>
      </c>
      <c r="E103" s="38">
        <v>0.0</v>
      </c>
      <c r="F103" s="38">
        <v>18.0</v>
      </c>
      <c r="G103" s="38">
        <v>0.0</v>
      </c>
      <c r="H103" s="38">
        <v>0.0</v>
      </c>
      <c r="I103" s="38">
        <v>0.0</v>
      </c>
      <c r="J103" s="38">
        <v>0.0</v>
      </c>
      <c r="K103" s="38">
        <v>120.0</v>
      </c>
      <c r="L103" s="38">
        <v>0.0</v>
      </c>
      <c r="M103" s="38">
        <v>300.0</v>
      </c>
      <c r="N103" s="38">
        <v>30.0</v>
      </c>
      <c r="O103" s="38">
        <v>8.0</v>
      </c>
      <c r="P103" s="38">
        <v>0.0</v>
      </c>
      <c r="Q103" s="38">
        <v>0.0</v>
      </c>
      <c r="R103" s="38">
        <v>478.0</v>
      </c>
      <c r="S103" s="26"/>
    </row>
    <row r="104" ht="15.75" customHeight="1">
      <c r="A104" s="38" t="s">
        <v>128</v>
      </c>
      <c r="B104" s="38" t="s">
        <v>218</v>
      </c>
      <c r="C104" s="38">
        <v>0.0</v>
      </c>
      <c r="D104" s="39">
        <f t="shared" si="1"/>
        <v>-0.399091499</v>
      </c>
      <c r="E104" s="38">
        <v>0.0</v>
      </c>
      <c r="F104" s="38">
        <v>0.0</v>
      </c>
      <c r="G104" s="38">
        <v>30.0</v>
      </c>
      <c r="H104" s="38">
        <v>0.0</v>
      </c>
      <c r="I104" s="38">
        <v>0.0</v>
      </c>
      <c r="J104" s="38">
        <v>0.0</v>
      </c>
      <c r="K104" s="38">
        <v>0.0</v>
      </c>
      <c r="L104" s="38">
        <v>20.0</v>
      </c>
      <c r="M104" s="38">
        <v>24.0</v>
      </c>
      <c r="N104" s="38">
        <v>10.0</v>
      </c>
      <c r="O104" s="38">
        <v>2.0</v>
      </c>
      <c r="P104" s="38">
        <v>0.0</v>
      </c>
      <c r="Q104" s="38">
        <v>0.0</v>
      </c>
      <c r="R104" s="38">
        <v>86.0</v>
      </c>
      <c r="S104" s="26"/>
    </row>
    <row r="105" ht="15.75" customHeight="1">
      <c r="A105" s="38" t="s">
        <v>129</v>
      </c>
      <c r="B105" s="38" t="s">
        <v>218</v>
      </c>
      <c r="C105" s="38">
        <v>12.0</v>
      </c>
      <c r="D105" s="39">
        <f t="shared" si="1"/>
        <v>0.379623621</v>
      </c>
      <c r="E105" s="38">
        <v>50.0</v>
      </c>
      <c r="F105" s="38">
        <v>0.0</v>
      </c>
      <c r="G105" s="38">
        <v>0.0</v>
      </c>
      <c r="H105" s="38">
        <v>0.0</v>
      </c>
      <c r="I105" s="38">
        <v>0.0</v>
      </c>
      <c r="J105" s="38">
        <v>102.0</v>
      </c>
      <c r="K105" s="38">
        <v>0.0</v>
      </c>
      <c r="L105" s="38">
        <v>300.0</v>
      </c>
      <c r="M105" s="38">
        <v>120.0</v>
      </c>
      <c r="N105" s="38">
        <v>10.0</v>
      </c>
      <c r="O105" s="38">
        <v>0.0</v>
      </c>
      <c r="P105" s="38">
        <v>0.0</v>
      </c>
      <c r="Q105" s="38">
        <v>0.0</v>
      </c>
      <c r="R105" s="38">
        <v>594.0</v>
      </c>
      <c r="S105" s="26"/>
    </row>
    <row r="106" ht="15.75" customHeight="1">
      <c r="A106" s="38" t="s">
        <v>130</v>
      </c>
      <c r="B106" s="38" t="s">
        <v>218</v>
      </c>
      <c r="C106" s="38">
        <v>0.0</v>
      </c>
      <c r="D106" s="39">
        <f t="shared" si="1"/>
        <v>-0.399091499</v>
      </c>
      <c r="E106" s="38">
        <v>0.0</v>
      </c>
      <c r="F106" s="38">
        <v>0.0</v>
      </c>
      <c r="G106" s="38">
        <v>0.0</v>
      </c>
      <c r="H106" s="38">
        <v>0.0</v>
      </c>
      <c r="I106" s="38">
        <v>71.0</v>
      </c>
      <c r="J106" s="38">
        <v>52.0</v>
      </c>
      <c r="K106" s="38">
        <v>100.0</v>
      </c>
      <c r="L106" s="38">
        <v>0.0</v>
      </c>
      <c r="M106" s="38">
        <v>0.0</v>
      </c>
      <c r="N106" s="38">
        <v>0.0</v>
      </c>
      <c r="O106" s="38">
        <v>0.0</v>
      </c>
      <c r="P106" s="38">
        <v>0.0</v>
      </c>
      <c r="Q106" s="38">
        <v>0.0</v>
      </c>
      <c r="R106" s="38">
        <v>223.0</v>
      </c>
      <c r="S106" s="26"/>
    </row>
    <row r="107" ht="15.75" customHeight="1">
      <c r="A107" s="38" t="s">
        <v>131</v>
      </c>
      <c r="B107" s="38" t="s">
        <v>218</v>
      </c>
      <c r="C107" s="38">
        <v>40.0</v>
      </c>
      <c r="D107" s="39">
        <f t="shared" si="1"/>
        <v>2.196625568</v>
      </c>
      <c r="E107" s="38">
        <v>50.0</v>
      </c>
      <c r="F107" s="38">
        <v>0.0</v>
      </c>
      <c r="G107" s="38">
        <v>0.0</v>
      </c>
      <c r="H107" s="38">
        <v>0.0</v>
      </c>
      <c r="I107" s="38">
        <v>0.0</v>
      </c>
      <c r="J107" s="38">
        <v>52.0</v>
      </c>
      <c r="K107" s="38">
        <v>0.0</v>
      </c>
      <c r="L107" s="38">
        <v>75.0</v>
      </c>
      <c r="M107" s="38">
        <v>220.0</v>
      </c>
      <c r="N107" s="38">
        <v>25.0</v>
      </c>
      <c r="O107" s="38">
        <v>0.0</v>
      </c>
      <c r="P107" s="38">
        <v>0.0</v>
      </c>
      <c r="Q107" s="38">
        <v>5.0</v>
      </c>
      <c r="R107" s="38">
        <v>467.0</v>
      </c>
      <c r="S107" s="26"/>
    </row>
    <row r="108" ht="15.75" customHeight="1">
      <c r="A108" s="38" t="s">
        <v>132</v>
      </c>
      <c r="B108" s="38" t="s">
        <v>218</v>
      </c>
      <c r="C108" s="38">
        <v>0.0</v>
      </c>
      <c r="D108" s="39">
        <f t="shared" si="1"/>
        <v>-0.399091499</v>
      </c>
      <c r="E108" s="38">
        <v>0.0</v>
      </c>
      <c r="F108" s="38">
        <v>0.0</v>
      </c>
      <c r="G108" s="38">
        <v>0.0</v>
      </c>
      <c r="H108" s="38">
        <v>0.0</v>
      </c>
      <c r="I108" s="38">
        <v>0.0</v>
      </c>
      <c r="J108" s="38">
        <v>0.0</v>
      </c>
      <c r="K108" s="38">
        <v>100.0</v>
      </c>
      <c r="L108" s="38">
        <v>25.0</v>
      </c>
      <c r="M108" s="38">
        <v>120.0</v>
      </c>
      <c r="N108" s="38">
        <v>5.0</v>
      </c>
      <c r="O108" s="38">
        <v>5.0</v>
      </c>
      <c r="P108" s="38">
        <v>0.0</v>
      </c>
      <c r="Q108" s="38">
        <v>0.0</v>
      </c>
      <c r="R108" s="38">
        <v>255.0</v>
      </c>
      <c r="S108" s="26"/>
    </row>
    <row r="109" ht="15.75" customHeight="1">
      <c r="A109" s="38" t="s">
        <v>133</v>
      </c>
      <c r="B109" s="38" t="s">
        <v>218</v>
      </c>
      <c r="C109" s="38">
        <v>0.0</v>
      </c>
      <c r="D109" s="39">
        <f t="shared" si="1"/>
        <v>-0.399091499</v>
      </c>
      <c r="E109" s="38">
        <v>0.0</v>
      </c>
      <c r="F109" s="38">
        <v>60.0</v>
      </c>
      <c r="G109" s="38">
        <v>0.0</v>
      </c>
      <c r="H109" s="38">
        <v>0.0</v>
      </c>
      <c r="I109" s="38">
        <v>142.0</v>
      </c>
      <c r="J109" s="38">
        <v>0.0</v>
      </c>
      <c r="K109" s="38">
        <v>20.0</v>
      </c>
      <c r="L109" s="38">
        <v>0.0</v>
      </c>
      <c r="M109" s="38">
        <v>200.0</v>
      </c>
      <c r="N109" s="38">
        <v>20.0</v>
      </c>
      <c r="O109" s="38">
        <v>0.0</v>
      </c>
      <c r="P109" s="38">
        <v>0.0</v>
      </c>
      <c r="Q109" s="38">
        <v>0.0</v>
      </c>
      <c r="R109" s="38">
        <v>442.0</v>
      </c>
      <c r="S109" s="26"/>
    </row>
    <row r="110" ht="15.75" customHeight="1">
      <c r="A110" s="38" t="s">
        <v>134</v>
      </c>
      <c r="B110" s="38" t="s">
        <v>218</v>
      </c>
      <c r="C110" s="38">
        <v>0.0</v>
      </c>
      <c r="D110" s="39">
        <f t="shared" si="1"/>
        <v>-0.399091499</v>
      </c>
      <c r="E110" s="38">
        <v>0.0</v>
      </c>
      <c r="F110" s="38">
        <v>0.0</v>
      </c>
      <c r="G110" s="38">
        <v>0.0</v>
      </c>
      <c r="H110" s="38">
        <v>0.0</v>
      </c>
      <c r="I110" s="38">
        <v>0.0</v>
      </c>
      <c r="J110" s="38">
        <v>102.0</v>
      </c>
      <c r="K110" s="38">
        <v>150.0</v>
      </c>
      <c r="L110" s="38">
        <v>0.0</v>
      </c>
      <c r="M110" s="38">
        <v>200.0</v>
      </c>
      <c r="N110" s="38">
        <v>0.0</v>
      </c>
      <c r="O110" s="38">
        <v>0.0</v>
      </c>
      <c r="P110" s="38">
        <v>0.0</v>
      </c>
      <c r="Q110" s="38">
        <v>0.0</v>
      </c>
      <c r="R110" s="38">
        <v>452.0</v>
      </c>
      <c r="S110" s="26"/>
    </row>
    <row r="111" ht="15.75" customHeight="1">
      <c r="A111" s="38" t="s">
        <v>135</v>
      </c>
      <c r="B111" s="38" t="s">
        <v>218</v>
      </c>
      <c r="C111" s="38">
        <v>15.0</v>
      </c>
      <c r="D111" s="39">
        <f t="shared" si="1"/>
        <v>0.574302401</v>
      </c>
      <c r="E111" s="38">
        <v>0.0</v>
      </c>
      <c r="F111" s="38">
        <v>0.0</v>
      </c>
      <c r="G111" s="38">
        <v>0.0</v>
      </c>
      <c r="H111" s="38">
        <v>0.0</v>
      </c>
      <c r="I111" s="38">
        <v>0.0</v>
      </c>
      <c r="J111" s="38">
        <v>102.0</v>
      </c>
      <c r="K111" s="38">
        <v>0.0</v>
      </c>
      <c r="L111" s="38">
        <v>0.0</v>
      </c>
      <c r="M111" s="38">
        <v>250.0</v>
      </c>
      <c r="N111" s="38">
        <v>0.0</v>
      </c>
      <c r="O111" s="38">
        <v>10.0</v>
      </c>
      <c r="P111" s="38">
        <v>0.0</v>
      </c>
      <c r="Q111" s="38">
        <v>0.0</v>
      </c>
      <c r="R111" s="38">
        <v>377.0</v>
      </c>
      <c r="S111" s="26"/>
    </row>
    <row r="112" ht="15.75" customHeight="1">
      <c r="A112" s="38" t="s">
        <v>136</v>
      </c>
      <c r="B112" s="38" t="s">
        <v>218</v>
      </c>
      <c r="C112" s="38">
        <v>3.0</v>
      </c>
      <c r="D112" s="39">
        <f t="shared" si="1"/>
        <v>-0.204412719</v>
      </c>
      <c r="E112" s="38">
        <v>60.0</v>
      </c>
      <c r="F112" s="38">
        <v>0.0</v>
      </c>
      <c r="G112" s="38">
        <v>0.0</v>
      </c>
      <c r="H112" s="38">
        <v>0.0</v>
      </c>
      <c r="I112" s="38">
        <v>0.0</v>
      </c>
      <c r="J112" s="38">
        <v>0.0</v>
      </c>
      <c r="K112" s="38">
        <v>0.0</v>
      </c>
      <c r="L112" s="38">
        <v>0.0</v>
      </c>
      <c r="M112" s="38">
        <v>0.0</v>
      </c>
      <c r="N112" s="38">
        <v>0.0</v>
      </c>
      <c r="O112" s="38">
        <v>5.0</v>
      </c>
      <c r="P112" s="38">
        <v>0.0</v>
      </c>
      <c r="Q112" s="38">
        <v>0.0</v>
      </c>
      <c r="R112" s="38">
        <v>68.0</v>
      </c>
      <c r="S112" s="26"/>
    </row>
    <row r="113" ht="15.75" customHeight="1">
      <c r="A113" s="38" t="s">
        <v>137</v>
      </c>
      <c r="B113" s="38" t="s">
        <v>218</v>
      </c>
      <c r="C113" s="38">
        <v>80.0</v>
      </c>
      <c r="D113" s="39">
        <f t="shared" si="1"/>
        <v>4.792342635</v>
      </c>
      <c r="E113" s="38">
        <v>0.0</v>
      </c>
      <c r="F113" s="38">
        <v>0.0</v>
      </c>
      <c r="G113" s="38">
        <v>0.0</v>
      </c>
      <c r="H113" s="38">
        <v>92.0</v>
      </c>
      <c r="I113" s="38">
        <v>214.0</v>
      </c>
      <c r="J113" s="38">
        <v>0.0</v>
      </c>
      <c r="K113" s="38">
        <v>200.0</v>
      </c>
      <c r="L113" s="38">
        <v>0.0</v>
      </c>
      <c r="M113" s="38">
        <v>90.0</v>
      </c>
      <c r="N113" s="38">
        <v>0.0</v>
      </c>
      <c r="O113" s="38">
        <v>8.0</v>
      </c>
      <c r="P113" s="38">
        <v>0.0</v>
      </c>
      <c r="Q113" s="38">
        <v>0.0</v>
      </c>
      <c r="R113" s="38">
        <v>684.0</v>
      </c>
      <c r="S113" s="26"/>
    </row>
    <row r="114" ht="15.75" customHeight="1">
      <c r="A114" s="38" t="s">
        <v>138</v>
      </c>
      <c r="B114" s="38" t="s">
        <v>218</v>
      </c>
      <c r="C114" s="38">
        <v>2.0</v>
      </c>
      <c r="D114" s="39">
        <f t="shared" si="1"/>
        <v>-0.2693056457</v>
      </c>
      <c r="E114" s="38">
        <v>0.0</v>
      </c>
      <c r="F114" s="38">
        <v>8.0</v>
      </c>
      <c r="G114" s="38">
        <v>0.0</v>
      </c>
      <c r="H114" s="38">
        <v>0.0</v>
      </c>
      <c r="I114" s="38">
        <v>71.0</v>
      </c>
      <c r="J114" s="38">
        <v>0.0</v>
      </c>
      <c r="K114" s="38">
        <v>20.0</v>
      </c>
      <c r="L114" s="38">
        <v>0.0</v>
      </c>
      <c r="M114" s="38">
        <v>0.0</v>
      </c>
      <c r="N114" s="38">
        <v>0.0</v>
      </c>
      <c r="O114" s="38">
        <v>10.0</v>
      </c>
      <c r="P114" s="38">
        <v>0.0</v>
      </c>
      <c r="Q114" s="38">
        <v>0.0</v>
      </c>
      <c r="R114" s="38">
        <v>111.0</v>
      </c>
      <c r="S114" s="26"/>
    </row>
    <row r="115" ht="15.75" customHeight="1">
      <c r="A115" s="38" t="s">
        <v>139</v>
      </c>
      <c r="B115" s="38" t="s">
        <v>218</v>
      </c>
      <c r="C115" s="38">
        <v>0.0</v>
      </c>
      <c r="D115" s="39">
        <f t="shared" si="1"/>
        <v>-0.399091499</v>
      </c>
      <c r="E115" s="38">
        <v>0.0</v>
      </c>
      <c r="F115" s="38">
        <v>0.0</v>
      </c>
      <c r="G115" s="38">
        <v>0.0</v>
      </c>
      <c r="H115" s="38">
        <v>0.0</v>
      </c>
      <c r="I115" s="38">
        <v>0.0</v>
      </c>
      <c r="J115" s="38">
        <v>0.0</v>
      </c>
      <c r="K115" s="38">
        <v>0.0</v>
      </c>
      <c r="L115" s="38">
        <v>0.0</v>
      </c>
      <c r="M115" s="38">
        <v>0.0</v>
      </c>
      <c r="N115" s="38">
        <v>0.0</v>
      </c>
      <c r="O115" s="38">
        <v>30.0</v>
      </c>
      <c r="P115" s="38">
        <v>0.0</v>
      </c>
      <c r="Q115" s="38">
        <v>0.0</v>
      </c>
      <c r="R115" s="38">
        <v>30.0</v>
      </c>
      <c r="S115" s="26"/>
    </row>
    <row r="116" ht="15.75" customHeight="1">
      <c r="A116" s="38" t="s">
        <v>140</v>
      </c>
      <c r="B116" s="38" t="s">
        <v>218</v>
      </c>
      <c r="C116" s="38">
        <v>12.0</v>
      </c>
      <c r="D116" s="39">
        <f t="shared" si="1"/>
        <v>0.379623621</v>
      </c>
      <c r="E116" s="38">
        <v>0.0</v>
      </c>
      <c r="F116" s="38">
        <v>8.0</v>
      </c>
      <c r="G116" s="38">
        <v>0.0</v>
      </c>
      <c r="H116" s="38">
        <v>46.0</v>
      </c>
      <c r="I116" s="38">
        <v>0.0</v>
      </c>
      <c r="J116" s="38">
        <v>0.0</v>
      </c>
      <c r="K116" s="38">
        <v>25.0</v>
      </c>
      <c r="L116" s="38">
        <v>0.0</v>
      </c>
      <c r="M116" s="38">
        <v>50.0</v>
      </c>
      <c r="N116" s="38">
        <v>0.0</v>
      </c>
      <c r="O116" s="38">
        <v>10.0</v>
      </c>
      <c r="P116" s="38">
        <v>0.0</v>
      </c>
      <c r="Q116" s="38">
        <v>0.0</v>
      </c>
      <c r="R116" s="38">
        <v>151.0</v>
      </c>
      <c r="S116" s="26"/>
    </row>
    <row r="117" ht="15.75" customHeight="1">
      <c r="A117" s="38" t="s">
        <v>141</v>
      </c>
      <c r="B117" s="38" t="s">
        <v>218</v>
      </c>
      <c r="C117" s="38">
        <v>5.0</v>
      </c>
      <c r="D117" s="39">
        <f t="shared" si="1"/>
        <v>-0.07462686567</v>
      </c>
      <c r="E117" s="38">
        <v>30.0</v>
      </c>
      <c r="F117" s="38">
        <v>0.0</v>
      </c>
      <c r="G117" s="38">
        <v>0.0</v>
      </c>
      <c r="H117" s="38">
        <v>0.0</v>
      </c>
      <c r="I117" s="38">
        <v>213.0</v>
      </c>
      <c r="J117" s="38">
        <v>50.0</v>
      </c>
      <c r="K117" s="38">
        <v>0.0</v>
      </c>
      <c r="L117" s="38">
        <v>0.0</v>
      </c>
      <c r="M117" s="38">
        <v>0.0</v>
      </c>
      <c r="N117" s="38">
        <v>0.0</v>
      </c>
      <c r="O117" s="38">
        <v>0.0</v>
      </c>
      <c r="P117" s="38">
        <v>0.0</v>
      </c>
      <c r="Q117" s="38">
        <v>0.0</v>
      </c>
      <c r="R117" s="38">
        <v>298.0</v>
      </c>
      <c r="S117" s="26"/>
    </row>
    <row r="118" ht="15.75" customHeight="1">
      <c r="A118" s="38" t="s">
        <v>142</v>
      </c>
      <c r="B118" s="38" t="s">
        <v>218</v>
      </c>
      <c r="C118" s="38">
        <v>0.0</v>
      </c>
      <c r="D118" s="39">
        <f t="shared" si="1"/>
        <v>-0.399091499</v>
      </c>
      <c r="E118" s="38">
        <v>0.0</v>
      </c>
      <c r="F118" s="38">
        <v>0.0</v>
      </c>
      <c r="G118" s="38">
        <v>0.0</v>
      </c>
      <c r="H118" s="38">
        <v>0.0</v>
      </c>
      <c r="I118" s="38">
        <v>142.0</v>
      </c>
      <c r="J118" s="38">
        <v>0.0</v>
      </c>
      <c r="K118" s="38">
        <v>130.0</v>
      </c>
      <c r="L118" s="38">
        <v>0.0</v>
      </c>
      <c r="M118" s="38">
        <v>0.0</v>
      </c>
      <c r="N118" s="38">
        <v>10.0</v>
      </c>
      <c r="O118" s="38">
        <v>0.0</v>
      </c>
      <c r="P118" s="38">
        <v>0.0</v>
      </c>
      <c r="Q118" s="38">
        <v>0.0</v>
      </c>
      <c r="R118" s="38">
        <v>282.0</v>
      </c>
      <c r="S118" s="26"/>
    </row>
    <row r="119" ht="15.75" customHeight="1">
      <c r="A119" s="38" t="s">
        <v>143</v>
      </c>
      <c r="B119" s="38" t="s">
        <v>218</v>
      </c>
      <c r="C119" s="38">
        <v>0.0</v>
      </c>
      <c r="D119" s="39">
        <f t="shared" si="1"/>
        <v>-0.399091499</v>
      </c>
      <c r="E119" s="38">
        <v>10.0</v>
      </c>
      <c r="F119" s="38">
        <v>0.0</v>
      </c>
      <c r="G119" s="38">
        <v>0.0</v>
      </c>
      <c r="H119" s="38">
        <v>0.0</v>
      </c>
      <c r="I119" s="38">
        <v>143.0</v>
      </c>
      <c r="J119" s="38">
        <v>0.0</v>
      </c>
      <c r="K119" s="38">
        <v>50.0</v>
      </c>
      <c r="L119" s="38">
        <v>200.0</v>
      </c>
      <c r="M119" s="38">
        <v>0.0</v>
      </c>
      <c r="N119" s="38">
        <v>3.0</v>
      </c>
      <c r="O119" s="38">
        <v>0.0</v>
      </c>
      <c r="P119" s="38">
        <v>0.0</v>
      </c>
      <c r="Q119" s="38">
        <v>5.0</v>
      </c>
      <c r="R119" s="38">
        <v>411.0</v>
      </c>
      <c r="S119" s="26"/>
    </row>
    <row r="120" ht="15.75" customHeight="1">
      <c r="A120" s="38" t="s">
        <v>144</v>
      </c>
      <c r="B120" s="38" t="s">
        <v>218</v>
      </c>
      <c r="C120" s="38">
        <v>0.0</v>
      </c>
      <c r="D120" s="39">
        <f t="shared" si="1"/>
        <v>-0.399091499</v>
      </c>
      <c r="E120" s="38">
        <v>4.0</v>
      </c>
      <c r="F120" s="38">
        <v>0.0</v>
      </c>
      <c r="G120" s="38">
        <v>0.0</v>
      </c>
      <c r="H120" s="38">
        <v>0.0</v>
      </c>
      <c r="I120" s="38">
        <v>71.0</v>
      </c>
      <c r="J120" s="38">
        <v>0.0</v>
      </c>
      <c r="K120" s="38">
        <v>150.0</v>
      </c>
      <c r="L120" s="38">
        <v>0.0</v>
      </c>
      <c r="M120" s="38">
        <v>0.0</v>
      </c>
      <c r="N120" s="38">
        <v>20.0</v>
      </c>
      <c r="O120" s="38">
        <v>5.0</v>
      </c>
      <c r="P120" s="38">
        <v>0.0</v>
      </c>
      <c r="Q120" s="38">
        <v>0.0</v>
      </c>
      <c r="R120" s="38">
        <v>250.0</v>
      </c>
      <c r="S120" s="26"/>
    </row>
    <row r="121" ht="15.75" customHeight="1">
      <c r="A121" s="38" t="s">
        <v>145</v>
      </c>
      <c r="B121" s="38" t="s">
        <v>218</v>
      </c>
      <c r="C121" s="38">
        <v>60.0</v>
      </c>
      <c r="D121" s="39">
        <f t="shared" si="1"/>
        <v>3.494484101</v>
      </c>
      <c r="E121" s="38">
        <v>25.0</v>
      </c>
      <c r="F121" s="38">
        <v>0.0</v>
      </c>
      <c r="G121" s="38">
        <v>0.0</v>
      </c>
      <c r="H121" s="38">
        <v>0.0</v>
      </c>
      <c r="I121" s="38">
        <v>0.0</v>
      </c>
      <c r="J121" s="38">
        <v>0.0</v>
      </c>
      <c r="K121" s="38">
        <v>0.0</v>
      </c>
      <c r="L121" s="38">
        <v>150.0</v>
      </c>
      <c r="M121" s="38">
        <v>200.0</v>
      </c>
      <c r="N121" s="38">
        <v>0.0</v>
      </c>
      <c r="O121" s="38">
        <v>0.0</v>
      </c>
      <c r="P121" s="38">
        <v>0.0</v>
      </c>
      <c r="Q121" s="38">
        <v>0.0</v>
      </c>
      <c r="R121" s="38">
        <v>435.0</v>
      </c>
      <c r="S121" s="26"/>
    </row>
    <row r="122" ht="15.75" customHeight="1">
      <c r="A122" s="38" t="s">
        <v>146</v>
      </c>
      <c r="B122" s="38" t="s">
        <v>218</v>
      </c>
      <c r="C122" s="38">
        <v>0.0</v>
      </c>
      <c r="D122" s="39">
        <f t="shared" si="1"/>
        <v>-0.399091499</v>
      </c>
      <c r="E122" s="38">
        <v>0.0</v>
      </c>
      <c r="F122" s="38">
        <v>0.0</v>
      </c>
      <c r="G122" s="38">
        <v>0.0</v>
      </c>
      <c r="H122" s="38">
        <v>0.0</v>
      </c>
      <c r="I122" s="38">
        <v>0.0</v>
      </c>
      <c r="J122" s="38">
        <v>50.0</v>
      </c>
      <c r="K122" s="38">
        <v>250.0</v>
      </c>
      <c r="L122" s="38">
        <v>0.0</v>
      </c>
      <c r="M122" s="38">
        <v>0.0</v>
      </c>
      <c r="N122" s="38">
        <v>10.0</v>
      </c>
      <c r="O122" s="38">
        <v>0.0</v>
      </c>
      <c r="P122" s="38">
        <v>0.0</v>
      </c>
      <c r="Q122" s="38">
        <v>0.0</v>
      </c>
      <c r="R122" s="38">
        <v>310.0</v>
      </c>
      <c r="S122" s="26"/>
    </row>
    <row r="123" ht="15.75" customHeight="1">
      <c r="A123" s="38" t="s">
        <v>147</v>
      </c>
      <c r="B123" s="38" t="s">
        <v>218</v>
      </c>
      <c r="C123" s="38">
        <v>0.0</v>
      </c>
      <c r="D123" s="39">
        <f t="shared" si="1"/>
        <v>-0.399091499</v>
      </c>
      <c r="E123" s="38">
        <v>10.0</v>
      </c>
      <c r="F123" s="38">
        <v>0.0</v>
      </c>
      <c r="G123" s="38">
        <v>0.0</v>
      </c>
      <c r="H123" s="38">
        <v>0.0</v>
      </c>
      <c r="I123" s="38">
        <v>143.0</v>
      </c>
      <c r="J123" s="38">
        <v>153.0</v>
      </c>
      <c r="K123" s="38">
        <v>0.0</v>
      </c>
      <c r="L123" s="38">
        <v>15.0</v>
      </c>
      <c r="M123" s="38">
        <v>0.0</v>
      </c>
      <c r="N123" s="38">
        <v>6.0</v>
      </c>
      <c r="O123" s="38">
        <v>0.0</v>
      </c>
      <c r="P123" s="38">
        <v>0.0</v>
      </c>
      <c r="Q123" s="38">
        <v>0.0</v>
      </c>
      <c r="R123" s="38">
        <v>327.0</v>
      </c>
      <c r="S123" s="26"/>
    </row>
    <row r="124" ht="15.75" customHeight="1">
      <c r="A124" s="38" t="s">
        <v>148</v>
      </c>
      <c r="B124" s="38" t="s">
        <v>218</v>
      </c>
      <c r="C124" s="38">
        <v>0.0</v>
      </c>
      <c r="D124" s="39">
        <f t="shared" si="1"/>
        <v>-0.399091499</v>
      </c>
      <c r="E124" s="38">
        <v>2.0</v>
      </c>
      <c r="F124" s="38">
        <v>30.0</v>
      </c>
      <c r="G124" s="38">
        <v>0.0</v>
      </c>
      <c r="H124" s="38">
        <v>0.0</v>
      </c>
      <c r="I124" s="38">
        <v>0.0</v>
      </c>
      <c r="J124" s="38">
        <v>51.0</v>
      </c>
      <c r="K124" s="38">
        <v>0.0</v>
      </c>
      <c r="L124" s="38">
        <v>0.0</v>
      </c>
      <c r="M124" s="38">
        <v>0.0</v>
      </c>
      <c r="N124" s="38">
        <v>0.0</v>
      </c>
      <c r="O124" s="38">
        <v>0.0</v>
      </c>
      <c r="P124" s="38">
        <v>0.0</v>
      </c>
      <c r="Q124" s="38">
        <v>0.0</v>
      </c>
      <c r="R124" s="38">
        <v>83.0</v>
      </c>
      <c r="S124" s="26"/>
    </row>
    <row r="125" ht="15.75" customHeight="1">
      <c r="A125" s="38" t="s">
        <v>149</v>
      </c>
      <c r="B125" s="38" t="s">
        <v>219</v>
      </c>
      <c r="C125" s="38">
        <v>4.0</v>
      </c>
      <c r="D125" s="39">
        <f t="shared" si="1"/>
        <v>-0.1395197923</v>
      </c>
      <c r="E125" s="38">
        <v>0.0</v>
      </c>
      <c r="F125" s="38">
        <v>0.0</v>
      </c>
      <c r="G125" s="38">
        <v>0.0</v>
      </c>
      <c r="H125" s="38">
        <v>0.0</v>
      </c>
      <c r="I125" s="38">
        <v>0.0</v>
      </c>
      <c r="J125" s="38">
        <v>102.0</v>
      </c>
      <c r="K125" s="38">
        <v>0.0</v>
      </c>
      <c r="L125" s="38">
        <v>0.0</v>
      </c>
      <c r="M125" s="38">
        <v>0.0</v>
      </c>
      <c r="N125" s="38">
        <v>12.0</v>
      </c>
      <c r="O125" s="38">
        <v>0.0</v>
      </c>
      <c r="P125" s="38">
        <v>0.0</v>
      </c>
      <c r="Q125" s="38">
        <v>0.0</v>
      </c>
      <c r="R125" s="38">
        <v>118.0</v>
      </c>
      <c r="S125" s="26"/>
    </row>
    <row r="126" ht="15.75" customHeight="1">
      <c r="A126" s="38" t="s">
        <v>150</v>
      </c>
      <c r="B126" s="38" t="s">
        <v>219</v>
      </c>
      <c r="C126" s="38">
        <v>0.0</v>
      </c>
      <c r="D126" s="39">
        <f t="shared" si="1"/>
        <v>-0.399091499</v>
      </c>
      <c r="E126" s="38">
        <v>0.0</v>
      </c>
      <c r="F126" s="38">
        <v>0.0</v>
      </c>
      <c r="G126" s="38">
        <v>3.0</v>
      </c>
      <c r="H126" s="38">
        <v>46.0</v>
      </c>
      <c r="I126" s="38">
        <v>0.0</v>
      </c>
      <c r="J126" s="38">
        <v>0.0</v>
      </c>
      <c r="K126" s="38">
        <v>0.0</v>
      </c>
      <c r="L126" s="38">
        <v>0.0</v>
      </c>
      <c r="M126" s="38">
        <v>200.0</v>
      </c>
      <c r="N126" s="38">
        <v>0.0</v>
      </c>
      <c r="O126" s="38">
        <v>0.0</v>
      </c>
      <c r="P126" s="38">
        <v>0.0</v>
      </c>
      <c r="Q126" s="38">
        <v>0.0</v>
      </c>
      <c r="R126" s="38">
        <v>249.0</v>
      </c>
      <c r="S126" s="26"/>
    </row>
    <row r="127" ht="15.75" customHeight="1">
      <c r="A127" s="38" t="s">
        <v>151</v>
      </c>
      <c r="B127" s="38" t="s">
        <v>219</v>
      </c>
      <c r="C127" s="38">
        <v>0.0</v>
      </c>
      <c r="D127" s="39">
        <f t="shared" si="1"/>
        <v>-0.399091499</v>
      </c>
      <c r="E127" s="38">
        <v>0.0</v>
      </c>
      <c r="F127" s="38">
        <v>10.0</v>
      </c>
      <c r="G127" s="38">
        <v>0.0</v>
      </c>
      <c r="H127" s="38">
        <v>0.0</v>
      </c>
      <c r="I127" s="38">
        <v>71.0</v>
      </c>
      <c r="J127" s="38">
        <v>0.0</v>
      </c>
      <c r="K127" s="38">
        <v>20.0</v>
      </c>
      <c r="L127" s="38">
        <v>40.0</v>
      </c>
      <c r="M127" s="38">
        <v>100.0</v>
      </c>
      <c r="N127" s="38">
        <v>0.0</v>
      </c>
      <c r="O127" s="38">
        <v>0.0</v>
      </c>
      <c r="P127" s="38">
        <v>0.0</v>
      </c>
      <c r="Q127" s="38">
        <v>0.0</v>
      </c>
      <c r="R127" s="38">
        <v>241.0</v>
      </c>
      <c r="S127" s="26"/>
    </row>
    <row r="128" ht="15.75" customHeight="1">
      <c r="A128" s="38" t="s">
        <v>152</v>
      </c>
      <c r="B128" s="38" t="s">
        <v>219</v>
      </c>
      <c r="C128" s="38">
        <v>0.0</v>
      </c>
      <c r="D128" s="39">
        <f t="shared" si="1"/>
        <v>-0.399091499</v>
      </c>
      <c r="E128" s="38">
        <v>12.0</v>
      </c>
      <c r="F128" s="38">
        <v>0.0</v>
      </c>
      <c r="G128" s="38">
        <v>0.0</v>
      </c>
      <c r="H128" s="38">
        <v>0.0</v>
      </c>
      <c r="I128" s="38">
        <v>0.0</v>
      </c>
      <c r="J128" s="38">
        <v>51.0</v>
      </c>
      <c r="K128" s="38">
        <v>0.0</v>
      </c>
      <c r="L128" s="38">
        <v>400.0</v>
      </c>
      <c r="M128" s="38">
        <v>0.0</v>
      </c>
      <c r="N128" s="38">
        <v>0.0</v>
      </c>
      <c r="O128" s="38">
        <v>6.0</v>
      </c>
      <c r="P128" s="38">
        <v>0.0</v>
      </c>
      <c r="Q128" s="38">
        <v>0.0</v>
      </c>
      <c r="R128" s="38">
        <v>469.0</v>
      </c>
      <c r="S128" s="26"/>
    </row>
    <row r="129" ht="15.75" customHeight="1">
      <c r="A129" s="38" t="s">
        <v>153</v>
      </c>
      <c r="B129" s="38" t="s">
        <v>219</v>
      </c>
      <c r="C129" s="38">
        <v>0.0</v>
      </c>
      <c r="D129" s="39">
        <f t="shared" si="1"/>
        <v>-0.399091499</v>
      </c>
      <c r="E129" s="38">
        <v>1.0</v>
      </c>
      <c r="F129" s="38">
        <v>3.0</v>
      </c>
      <c r="G129" s="38">
        <v>0.0</v>
      </c>
      <c r="H129" s="38">
        <v>0.0</v>
      </c>
      <c r="I129" s="38">
        <v>71.0</v>
      </c>
      <c r="J129" s="38">
        <v>0.0</v>
      </c>
      <c r="K129" s="38">
        <v>0.0</v>
      </c>
      <c r="L129" s="38">
        <v>0.0</v>
      </c>
      <c r="M129" s="38">
        <v>0.0</v>
      </c>
      <c r="N129" s="38">
        <v>0.0</v>
      </c>
      <c r="O129" s="38">
        <v>20.0</v>
      </c>
      <c r="P129" s="38">
        <v>0.0</v>
      </c>
      <c r="Q129" s="38">
        <v>0.0</v>
      </c>
      <c r="R129" s="38">
        <v>95.0</v>
      </c>
      <c r="S129" s="26"/>
    </row>
    <row r="130" ht="15.75" customHeight="1">
      <c r="A130" s="38" t="s">
        <v>154</v>
      </c>
      <c r="B130" s="38" t="s">
        <v>219</v>
      </c>
      <c r="C130" s="38">
        <v>16.0</v>
      </c>
      <c r="D130" s="39">
        <f t="shared" si="1"/>
        <v>0.6391953277</v>
      </c>
      <c r="E130" s="38">
        <v>0.0</v>
      </c>
      <c r="F130" s="38">
        <v>0.0</v>
      </c>
      <c r="G130" s="38">
        <v>0.0</v>
      </c>
      <c r="H130" s="38">
        <v>0.0</v>
      </c>
      <c r="I130" s="38">
        <v>143.0</v>
      </c>
      <c r="J130" s="38">
        <v>51.0</v>
      </c>
      <c r="K130" s="38">
        <v>0.0</v>
      </c>
      <c r="L130" s="38">
        <v>0.0</v>
      </c>
      <c r="M130" s="38">
        <v>0.0</v>
      </c>
      <c r="N130" s="38">
        <v>0.0</v>
      </c>
      <c r="O130" s="38">
        <v>0.0</v>
      </c>
      <c r="P130" s="38">
        <v>0.0</v>
      </c>
      <c r="Q130" s="38">
        <v>0.0</v>
      </c>
      <c r="R130" s="38">
        <v>210.0</v>
      </c>
      <c r="S130" s="26"/>
    </row>
    <row r="131" ht="15.75" customHeight="1">
      <c r="A131" s="38" t="s">
        <v>155</v>
      </c>
      <c r="B131" s="38" t="s">
        <v>219</v>
      </c>
      <c r="C131" s="38">
        <v>0.0</v>
      </c>
      <c r="D131" s="39">
        <f t="shared" si="1"/>
        <v>-0.399091499</v>
      </c>
      <c r="E131" s="38">
        <v>0.0</v>
      </c>
      <c r="F131" s="38">
        <v>0.0</v>
      </c>
      <c r="G131" s="38">
        <v>0.0</v>
      </c>
      <c r="H131" s="38">
        <v>0.0</v>
      </c>
      <c r="I131" s="38">
        <v>71.0</v>
      </c>
      <c r="J131" s="38">
        <v>51.0</v>
      </c>
      <c r="K131" s="38">
        <v>0.0</v>
      </c>
      <c r="L131" s="38">
        <v>150.0</v>
      </c>
      <c r="M131" s="38">
        <v>200.0</v>
      </c>
      <c r="N131" s="38">
        <v>10.0</v>
      </c>
      <c r="O131" s="38">
        <v>3.0</v>
      </c>
      <c r="P131" s="38">
        <v>0.0</v>
      </c>
      <c r="Q131" s="38">
        <v>0.0</v>
      </c>
      <c r="R131" s="38">
        <v>485.0</v>
      </c>
      <c r="S131" s="26"/>
    </row>
    <row r="132" ht="15.75" customHeight="1">
      <c r="A132" s="38" t="s">
        <v>156</v>
      </c>
      <c r="B132" s="38" t="s">
        <v>219</v>
      </c>
      <c r="C132" s="38">
        <v>1.0</v>
      </c>
      <c r="D132" s="39">
        <f t="shared" si="1"/>
        <v>-0.3341985724</v>
      </c>
      <c r="E132" s="38">
        <v>18.0</v>
      </c>
      <c r="F132" s="38">
        <v>0.0</v>
      </c>
      <c r="G132" s="38">
        <v>0.0</v>
      </c>
      <c r="H132" s="38">
        <v>46.0</v>
      </c>
      <c r="I132" s="38">
        <v>71.0</v>
      </c>
      <c r="J132" s="38">
        <v>0.0</v>
      </c>
      <c r="K132" s="38">
        <v>0.0</v>
      </c>
      <c r="L132" s="38">
        <v>0.0</v>
      </c>
      <c r="M132" s="38">
        <v>0.0</v>
      </c>
      <c r="N132" s="38">
        <v>10.0</v>
      </c>
      <c r="O132" s="38">
        <v>0.0</v>
      </c>
      <c r="P132" s="38">
        <v>0.0</v>
      </c>
      <c r="Q132" s="38">
        <v>0.0</v>
      </c>
      <c r="R132" s="38">
        <v>146.0</v>
      </c>
      <c r="S132" s="26"/>
    </row>
    <row r="133" ht="15.75" customHeight="1">
      <c r="A133" s="38" t="s">
        <v>157</v>
      </c>
      <c r="B133" s="38" t="s">
        <v>219</v>
      </c>
      <c r="C133" s="38">
        <v>0.0</v>
      </c>
      <c r="D133" s="39">
        <f t="shared" si="1"/>
        <v>-0.399091499</v>
      </c>
      <c r="E133" s="38">
        <v>0.0</v>
      </c>
      <c r="F133" s="38">
        <v>0.0</v>
      </c>
      <c r="G133" s="38">
        <v>0.0</v>
      </c>
      <c r="H133" s="38">
        <v>0.0</v>
      </c>
      <c r="I133" s="38">
        <v>71.0</v>
      </c>
      <c r="J133" s="38">
        <v>51.0</v>
      </c>
      <c r="K133" s="38">
        <v>100.0</v>
      </c>
      <c r="L133" s="38">
        <v>0.0</v>
      </c>
      <c r="M133" s="38">
        <v>0.0</v>
      </c>
      <c r="N133" s="38">
        <v>0.0</v>
      </c>
      <c r="O133" s="38">
        <v>0.0</v>
      </c>
      <c r="P133" s="38">
        <v>0.0</v>
      </c>
      <c r="Q133" s="38">
        <v>0.0</v>
      </c>
      <c r="R133" s="38">
        <v>222.0</v>
      </c>
      <c r="S133" s="26"/>
    </row>
    <row r="134" ht="15.75" customHeight="1">
      <c r="A134" s="38" t="s">
        <v>158</v>
      </c>
      <c r="B134" s="38" t="s">
        <v>219</v>
      </c>
      <c r="C134" s="38">
        <v>0.0</v>
      </c>
      <c r="D134" s="39">
        <f t="shared" si="1"/>
        <v>-0.399091499</v>
      </c>
      <c r="E134" s="38">
        <v>0.0</v>
      </c>
      <c r="F134" s="38">
        <v>0.0</v>
      </c>
      <c r="G134" s="38">
        <v>0.0</v>
      </c>
      <c r="H134" s="38">
        <v>0.0</v>
      </c>
      <c r="I134" s="38">
        <v>0.0</v>
      </c>
      <c r="J134" s="38">
        <v>51.0</v>
      </c>
      <c r="K134" s="38">
        <v>20.0</v>
      </c>
      <c r="L134" s="38">
        <v>0.0</v>
      </c>
      <c r="M134" s="38">
        <v>10.0</v>
      </c>
      <c r="N134" s="38">
        <v>25.0</v>
      </c>
      <c r="O134" s="38">
        <v>10.0</v>
      </c>
      <c r="P134" s="38">
        <v>0.0</v>
      </c>
      <c r="Q134" s="38">
        <v>0.0</v>
      </c>
      <c r="R134" s="38">
        <v>116.0</v>
      </c>
      <c r="S134" s="26"/>
    </row>
    <row r="135" ht="15.75" customHeight="1">
      <c r="A135" s="38" t="s">
        <v>159</v>
      </c>
      <c r="B135" s="38" t="s">
        <v>219</v>
      </c>
      <c r="C135" s="38">
        <v>20.0</v>
      </c>
      <c r="D135" s="39">
        <f t="shared" si="1"/>
        <v>0.8987670344</v>
      </c>
      <c r="E135" s="38">
        <v>80.0</v>
      </c>
      <c r="F135" s="38">
        <v>0.0</v>
      </c>
      <c r="G135" s="38">
        <v>0.0</v>
      </c>
      <c r="H135" s="38">
        <v>0.0</v>
      </c>
      <c r="I135" s="38">
        <v>0.0</v>
      </c>
      <c r="J135" s="38">
        <v>153.0</v>
      </c>
      <c r="K135" s="38">
        <v>0.0</v>
      </c>
      <c r="L135" s="38">
        <v>0.0</v>
      </c>
      <c r="M135" s="38">
        <v>0.0</v>
      </c>
      <c r="N135" s="38">
        <v>10.0</v>
      </c>
      <c r="O135" s="38">
        <v>10.0</v>
      </c>
      <c r="P135" s="38">
        <v>0.0</v>
      </c>
      <c r="Q135" s="38">
        <v>0.0</v>
      </c>
      <c r="R135" s="38">
        <v>273.0</v>
      </c>
      <c r="S135" s="26"/>
    </row>
    <row r="136" ht="15.75" customHeight="1">
      <c r="A136" s="38" t="s">
        <v>160</v>
      </c>
      <c r="B136" s="38" t="s">
        <v>219</v>
      </c>
      <c r="C136" s="38">
        <v>45.0</v>
      </c>
      <c r="D136" s="39">
        <f t="shared" si="1"/>
        <v>2.521090201</v>
      </c>
      <c r="E136" s="38">
        <v>0.0</v>
      </c>
      <c r="F136" s="38">
        <v>0.0</v>
      </c>
      <c r="G136" s="38">
        <v>0.0</v>
      </c>
      <c r="H136" s="38">
        <v>0.0</v>
      </c>
      <c r="I136" s="38">
        <v>142.0</v>
      </c>
      <c r="J136" s="38">
        <v>51.0</v>
      </c>
      <c r="K136" s="38">
        <v>0.0</v>
      </c>
      <c r="L136" s="38">
        <v>150.0</v>
      </c>
      <c r="M136" s="38">
        <v>0.0</v>
      </c>
      <c r="N136" s="38">
        <v>0.0</v>
      </c>
      <c r="O136" s="38">
        <v>0.0</v>
      </c>
      <c r="P136" s="38">
        <v>0.0</v>
      </c>
      <c r="Q136" s="38">
        <v>4.0</v>
      </c>
      <c r="R136" s="38">
        <v>392.0</v>
      </c>
      <c r="S136" s="26"/>
    </row>
    <row r="137" ht="15.75" customHeight="1">
      <c r="A137" s="38" t="s">
        <v>161</v>
      </c>
      <c r="B137" s="38" t="s">
        <v>219</v>
      </c>
      <c r="C137" s="38">
        <v>0.0</v>
      </c>
      <c r="D137" s="39">
        <f t="shared" si="1"/>
        <v>-0.399091499</v>
      </c>
      <c r="E137" s="38">
        <v>0.0</v>
      </c>
      <c r="F137" s="38">
        <v>0.0</v>
      </c>
      <c r="G137" s="38">
        <v>0.0</v>
      </c>
      <c r="H137" s="38">
        <v>0.0</v>
      </c>
      <c r="I137" s="38">
        <v>0.0</v>
      </c>
      <c r="J137" s="38">
        <v>102.0</v>
      </c>
      <c r="K137" s="38">
        <v>0.0</v>
      </c>
      <c r="L137" s="38">
        <v>200.0</v>
      </c>
      <c r="M137" s="38">
        <v>0.0</v>
      </c>
      <c r="N137" s="38">
        <v>0.0</v>
      </c>
      <c r="O137" s="38">
        <v>5.0</v>
      </c>
      <c r="P137" s="38">
        <v>0.0</v>
      </c>
      <c r="Q137" s="38">
        <v>0.0</v>
      </c>
      <c r="R137" s="38">
        <v>307.0</v>
      </c>
      <c r="S137" s="26"/>
    </row>
    <row r="138" ht="15.75" customHeight="1">
      <c r="A138" s="38" t="s">
        <v>162</v>
      </c>
      <c r="B138" s="38" t="s">
        <v>219</v>
      </c>
      <c r="C138" s="38">
        <v>3.0</v>
      </c>
      <c r="D138" s="39">
        <f t="shared" si="1"/>
        <v>-0.204412719</v>
      </c>
      <c r="E138" s="38">
        <v>15.0</v>
      </c>
      <c r="F138" s="38">
        <v>0.0</v>
      </c>
      <c r="G138" s="38">
        <v>0.0</v>
      </c>
      <c r="H138" s="38">
        <v>0.0</v>
      </c>
      <c r="I138" s="38">
        <v>0.0</v>
      </c>
      <c r="J138" s="38">
        <v>0.0</v>
      </c>
      <c r="K138" s="38">
        <v>0.0</v>
      </c>
      <c r="L138" s="38">
        <v>0.0</v>
      </c>
      <c r="M138" s="38">
        <v>70.0</v>
      </c>
      <c r="N138" s="38">
        <v>0.0</v>
      </c>
      <c r="O138" s="38">
        <v>0.0</v>
      </c>
      <c r="P138" s="38">
        <v>0.0</v>
      </c>
      <c r="Q138" s="38">
        <v>0.0</v>
      </c>
      <c r="R138" s="38">
        <v>88.0</v>
      </c>
      <c r="S138" s="26"/>
    </row>
    <row r="139" ht="15.75" customHeight="1">
      <c r="A139" s="38" t="s">
        <v>163</v>
      </c>
      <c r="B139" s="38" t="s">
        <v>219</v>
      </c>
      <c r="C139" s="38">
        <v>0.0</v>
      </c>
      <c r="D139" s="39">
        <f t="shared" si="1"/>
        <v>-0.399091499</v>
      </c>
      <c r="E139" s="38">
        <v>0.0</v>
      </c>
      <c r="F139" s="38">
        <v>0.0</v>
      </c>
      <c r="G139" s="38">
        <v>0.0</v>
      </c>
      <c r="H139" s="38">
        <v>0.0</v>
      </c>
      <c r="I139" s="38">
        <v>0.0</v>
      </c>
      <c r="J139" s="38">
        <v>51.0</v>
      </c>
      <c r="K139" s="38">
        <v>0.0</v>
      </c>
      <c r="L139" s="38">
        <v>200.0</v>
      </c>
      <c r="M139" s="38">
        <v>0.0</v>
      </c>
      <c r="N139" s="38">
        <v>0.0</v>
      </c>
      <c r="O139" s="38">
        <v>10.0</v>
      </c>
      <c r="P139" s="38">
        <v>0.0</v>
      </c>
      <c r="Q139" s="38">
        <v>0.0</v>
      </c>
      <c r="R139" s="38">
        <v>261.0</v>
      </c>
      <c r="S139" s="26"/>
    </row>
    <row r="140" ht="15.75" customHeight="1">
      <c r="A140" s="38" t="s">
        <v>164</v>
      </c>
      <c r="B140" s="38" t="s">
        <v>219</v>
      </c>
      <c r="C140" s="38">
        <v>0.0</v>
      </c>
      <c r="D140" s="39">
        <f t="shared" si="1"/>
        <v>-0.399091499</v>
      </c>
      <c r="E140" s="38">
        <v>0.0</v>
      </c>
      <c r="F140" s="38">
        <v>0.0</v>
      </c>
      <c r="G140" s="38">
        <v>0.0</v>
      </c>
      <c r="H140" s="38">
        <v>0.0</v>
      </c>
      <c r="I140" s="38">
        <v>0.0</v>
      </c>
      <c r="J140" s="38">
        <v>102.0</v>
      </c>
      <c r="K140" s="38">
        <v>0.0</v>
      </c>
      <c r="L140" s="38">
        <v>50.0</v>
      </c>
      <c r="M140" s="38">
        <v>75.0</v>
      </c>
      <c r="N140" s="38">
        <v>5.0</v>
      </c>
      <c r="O140" s="38">
        <v>0.0</v>
      </c>
      <c r="P140" s="38">
        <v>0.0</v>
      </c>
      <c r="Q140" s="38">
        <v>0.0</v>
      </c>
      <c r="R140" s="38">
        <v>232.0</v>
      </c>
      <c r="S140" s="26"/>
    </row>
    <row r="141" ht="15.75" customHeight="1">
      <c r="A141" s="38" t="s">
        <v>165</v>
      </c>
      <c r="B141" s="38" t="s">
        <v>219</v>
      </c>
      <c r="C141" s="38">
        <v>0.0</v>
      </c>
      <c r="D141" s="39">
        <f t="shared" si="1"/>
        <v>-0.399091499</v>
      </c>
      <c r="E141" s="38">
        <v>12.0</v>
      </c>
      <c r="F141" s="38">
        <v>0.0</v>
      </c>
      <c r="G141" s="38">
        <v>4.0</v>
      </c>
      <c r="H141" s="38">
        <v>0.0</v>
      </c>
      <c r="I141" s="38">
        <v>71.0</v>
      </c>
      <c r="J141" s="38">
        <v>0.0</v>
      </c>
      <c r="K141" s="38">
        <v>0.0</v>
      </c>
      <c r="L141" s="38">
        <v>50.0</v>
      </c>
      <c r="M141" s="38">
        <v>0.0</v>
      </c>
      <c r="N141" s="38">
        <v>10.0</v>
      </c>
      <c r="O141" s="38">
        <v>0.0</v>
      </c>
      <c r="P141" s="38">
        <v>0.0</v>
      </c>
      <c r="Q141" s="38">
        <v>0.0</v>
      </c>
      <c r="R141" s="38">
        <v>147.0</v>
      </c>
      <c r="S141" s="26"/>
    </row>
    <row r="142" ht="15.75" customHeight="1">
      <c r="A142" s="38" t="s">
        <v>166</v>
      </c>
      <c r="B142" s="38" t="s">
        <v>219</v>
      </c>
      <c r="C142" s="38">
        <v>0.0</v>
      </c>
      <c r="D142" s="39">
        <f t="shared" si="1"/>
        <v>-0.399091499</v>
      </c>
      <c r="E142" s="38">
        <v>10.0</v>
      </c>
      <c r="F142" s="38">
        <v>25.0</v>
      </c>
      <c r="G142" s="38">
        <v>0.0</v>
      </c>
      <c r="H142" s="38">
        <v>0.0</v>
      </c>
      <c r="I142" s="38">
        <v>0.0</v>
      </c>
      <c r="J142" s="38">
        <v>0.0</v>
      </c>
      <c r="K142" s="38">
        <v>0.0</v>
      </c>
      <c r="L142" s="38">
        <v>0.0</v>
      </c>
      <c r="M142" s="38">
        <v>200.0</v>
      </c>
      <c r="N142" s="38">
        <v>10.0</v>
      </c>
      <c r="O142" s="38">
        <v>10.0</v>
      </c>
      <c r="P142" s="38">
        <v>0.0</v>
      </c>
      <c r="Q142" s="38">
        <v>0.0</v>
      </c>
      <c r="R142" s="38">
        <v>255.0</v>
      </c>
      <c r="S142" s="26"/>
    </row>
    <row r="143" ht="15.75" customHeight="1">
      <c r="A143" s="38" t="s">
        <v>167</v>
      </c>
      <c r="B143" s="38" t="s">
        <v>219</v>
      </c>
      <c r="C143" s="38">
        <v>0.0</v>
      </c>
      <c r="D143" s="39">
        <f t="shared" si="1"/>
        <v>-0.399091499</v>
      </c>
      <c r="E143" s="38">
        <v>0.0</v>
      </c>
      <c r="F143" s="38">
        <v>0.0</v>
      </c>
      <c r="G143" s="38">
        <v>2.0</v>
      </c>
      <c r="H143" s="38">
        <v>0.0</v>
      </c>
      <c r="I143" s="38">
        <v>0.0</v>
      </c>
      <c r="J143" s="38">
        <v>51.0</v>
      </c>
      <c r="K143" s="38">
        <v>120.0</v>
      </c>
      <c r="L143" s="38">
        <v>0.0</v>
      </c>
      <c r="M143" s="38">
        <v>200.0</v>
      </c>
      <c r="N143" s="38">
        <v>0.0</v>
      </c>
      <c r="O143" s="38">
        <v>8.0</v>
      </c>
      <c r="P143" s="38">
        <v>0.0</v>
      </c>
      <c r="Q143" s="38">
        <v>0.0</v>
      </c>
      <c r="R143" s="38">
        <v>381.0</v>
      </c>
      <c r="S143" s="26"/>
    </row>
    <row r="144" ht="15.75" customHeight="1">
      <c r="A144" s="38" t="s">
        <v>168</v>
      </c>
      <c r="B144" s="38" t="s">
        <v>219</v>
      </c>
      <c r="C144" s="38">
        <v>0.0</v>
      </c>
      <c r="D144" s="39">
        <f t="shared" si="1"/>
        <v>-0.399091499</v>
      </c>
      <c r="E144" s="38">
        <v>0.0</v>
      </c>
      <c r="F144" s="38">
        <v>1.0</v>
      </c>
      <c r="G144" s="38">
        <v>0.0</v>
      </c>
      <c r="H144" s="38">
        <v>0.0</v>
      </c>
      <c r="I144" s="38">
        <v>0.0</v>
      </c>
      <c r="J144" s="38">
        <v>0.0</v>
      </c>
      <c r="K144" s="38">
        <v>0.0</v>
      </c>
      <c r="L144" s="38">
        <v>50.0</v>
      </c>
      <c r="M144" s="38">
        <v>0.0</v>
      </c>
      <c r="N144" s="38">
        <v>20.0</v>
      </c>
      <c r="O144" s="38">
        <v>10.0</v>
      </c>
      <c r="P144" s="38">
        <v>0.0</v>
      </c>
      <c r="Q144" s="38">
        <v>0.0</v>
      </c>
      <c r="R144" s="38">
        <v>81.0</v>
      </c>
      <c r="S144" s="26"/>
    </row>
    <row r="145" ht="15.75" customHeight="1">
      <c r="A145" s="38" t="s">
        <v>169</v>
      </c>
      <c r="B145" s="38" t="s">
        <v>219</v>
      </c>
      <c r="C145" s="38">
        <v>5.0</v>
      </c>
      <c r="D145" s="39">
        <f t="shared" si="1"/>
        <v>-0.07462686567</v>
      </c>
      <c r="E145" s="38">
        <v>4.0</v>
      </c>
      <c r="F145" s="38">
        <v>30.0</v>
      </c>
      <c r="G145" s="38">
        <v>0.0</v>
      </c>
      <c r="H145" s="38">
        <v>0.0</v>
      </c>
      <c r="I145" s="38">
        <v>0.0</v>
      </c>
      <c r="J145" s="38">
        <v>102.0</v>
      </c>
      <c r="K145" s="38">
        <v>0.0</v>
      </c>
      <c r="L145" s="38">
        <v>0.0</v>
      </c>
      <c r="M145" s="38">
        <v>100.0</v>
      </c>
      <c r="N145" s="38">
        <v>10.0</v>
      </c>
      <c r="O145" s="38">
        <v>0.0</v>
      </c>
      <c r="P145" s="38">
        <v>0.0</v>
      </c>
      <c r="Q145" s="38">
        <v>0.0</v>
      </c>
      <c r="R145" s="38">
        <v>251.0</v>
      </c>
      <c r="S145" s="26"/>
    </row>
    <row r="146" ht="15.75" customHeight="1">
      <c r="A146" s="38" t="s">
        <v>170</v>
      </c>
      <c r="B146" s="38" t="s">
        <v>219</v>
      </c>
      <c r="C146" s="38">
        <v>0.0</v>
      </c>
      <c r="D146" s="39">
        <f t="shared" si="1"/>
        <v>-0.399091499</v>
      </c>
      <c r="E146" s="38">
        <v>20.0</v>
      </c>
      <c r="F146" s="38">
        <v>10.0</v>
      </c>
      <c r="G146" s="38">
        <v>0.0</v>
      </c>
      <c r="H146" s="38">
        <v>0.0</v>
      </c>
      <c r="I146" s="38">
        <v>0.0</v>
      </c>
      <c r="J146" s="38">
        <v>0.0</v>
      </c>
      <c r="K146" s="38">
        <v>0.0</v>
      </c>
      <c r="L146" s="38">
        <v>300.0</v>
      </c>
      <c r="M146" s="38">
        <v>0.0</v>
      </c>
      <c r="N146" s="38">
        <v>0.0</v>
      </c>
      <c r="O146" s="38">
        <v>0.0</v>
      </c>
      <c r="P146" s="38">
        <v>0.0</v>
      </c>
      <c r="Q146" s="38">
        <v>0.0</v>
      </c>
      <c r="R146" s="38">
        <v>330.0</v>
      </c>
      <c r="S146" s="26"/>
    </row>
    <row r="147" ht="15.75" customHeight="1">
      <c r="A147" s="38" t="s">
        <v>171</v>
      </c>
      <c r="B147" s="38" t="s">
        <v>219</v>
      </c>
      <c r="C147" s="38">
        <v>12.0</v>
      </c>
      <c r="D147" s="39">
        <f t="shared" si="1"/>
        <v>0.379623621</v>
      </c>
      <c r="E147" s="38">
        <v>0.0</v>
      </c>
      <c r="F147" s="38">
        <v>0.0</v>
      </c>
      <c r="G147" s="38">
        <v>0.0</v>
      </c>
      <c r="H147" s="38">
        <v>0.0</v>
      </c>
      <c r="I147" s="38">
        <v>0.0</v>
      </c>
      <c r="J147" s="38">
        <v>0.0</v>
      </c>
      <c r="K147" s="38">
        <v>0.0</v>
      </c>
      <c r="L147" s="38">
        <v>20.0</v>
      </c>
      <c r="M147" s="38">
        <v>0.0</v>
      </c>
      <c r="N147" s="38">
        <v>20.0</v>
      </c>
      <c r="O147" s="38">
        <v>4.0</v>
      </c>
      <c r="P147" s="38">
        <v>0.0</v>
      </c>
      <c r="Q147" s="38">
        <v>0.0</v>
      </c>
      <c r="R147" s="38">
        <v>56.0</v>
      </c>
      <c r="S147" s="26"/>
    </row>
    <row r="148" ht="15.75" customHeight="1">
      <c r="A148" s="38" t="s">
        <v>172</v>
      </c>
      <c r="B148" s="38" t="s">
        <v>219</v>
      </c>
      <c r="C148" s="38">
        <v>0.0</v>
      </c>
      <c r="D148" s="39">
        <f t="shared" si="1"/>
        <v>-0.399091499</v>
      </c>
      <c r="E148" s="38">
        <v>0.0</v>
      </c>
      <c r="F148" s="38">
        <v>30.0</v>
      </c>
      <c r="G148" s="38">
        <v>0.0</v>
      </c>
      <c r="H148" s="38">
        <v>0.0</v>
      </c>
      <c r="I148" s="38">
        <v>0.0</v>
      </c>
      <c r="J148" s="38">
        <v>51.0</v>
      </c>
      <c r="K148" s="38">
        <v>0.0</v>
      </c>
      <c r="L148" s="38">
        <v>100.0</v>
      </c>
      <c r="M148" s="38">
        <v>0.0</v>
      </c>
      <c r="N148" s="38">
        <v>10.0</v>
      </c>
      <c r="O148" s="38">
        <v>0.0</v>
      </c>
      <c r="P148" s="38">
        <v>0.0</v>
      </c>
      <c r="Q148" s="38">
        <v>0.0</v>
      </c>
      <c r="R148" s="38">
        <v>191.0</v>
      </c>
      <c r="S148" s="26"/>
    </row>
    <row r="149" ht="15.75" customHeight="1">
      <c r="A149" s="38" t="s">
        <v>173</v>
      </c>
      <c r="B149" s="38" t="s">
        <v>219</v>
      </c>
      <c r="C149" s="38">
        <v>15.0</v>
      </c>
      <c r="D149" s="39">
        <f t="shared" si="1"/>
        <v>0.574302401</v>
      </c>
      <c r="E149" s="38">
        <v>0.0</v>
      </c>
      <c r="F149" s="38">
        <v>0.0</v>
      </c>
      <c r="G149" s="38">
        <v>9.0</v>
      </c>
      <c r="H149" s="38">
        <v>0.0</v>
      </c>
      <c r="I149" s="38">
        <v>71.0</v>
      </c>
      <c r="J149" s="38">
        <v>51.0</v>
      </c>
      <c r="K149" s="38">
        <v>0.0</v>
      </c>
      <c r="L149" s="38">
        <v>0.0</v>
      </c>
      <c r="M149" s="38">
        <v>200.0</v>
      </c>
      <c r="N149" s="38">
        <v>0.0</v>
      </c>
      <c r="O149" s="38">
        <v>3.0</v>
      </c>
      <c r="P149" s="38">
        <v>0.0</v>
      </c>
      <c r="Q149" s="38">
        <v>0.0</v>
      </c>
      <c r="R149" s="38">
        <v>349.0</v>
      </c>
      <c r="S149" s="26"/>
    </row>
    <row r="150" ht="15.75" customHeight="1">
      <c r="A150" s="38" t="s">
        <v>174</v>
      </c>
      <c r="B150" s="38" t="s">
        <v>219</v>
      </c>
      <c r="C150" s="38">
        <v>0.0</v>
      </c>
      <c r="D150" s="39">
        <f t="shared" si="1"/>
        <v>-0.399091499</v>
      </c>
      <c r="E150" s="38">
        <v>0.0</v>
      </c>
      <c r="F150" s="38">
        <v>0.0</v>
      </c>
      <c r="G150" s="38">
        <v>0.0</v>
      </c>
      <c r="H150" s="38">
        <v>0.0</v>
      </c>
      <c r="I150" s="38">
        <v>142.0</v>
      </c>
      <c r="J150" s="38">
        <v>51.0</v>
      </c>
      <c r="K150" s="38">
        <v>0.0</v>
      </c>
      <c r="L150" s="38">
        <v>50.0</v>
      </c>
      <c r="M150" s="38">
        <v>0.0</v>
      </c>
      <c r="N150" s="38">
        <v>0.0</v>
      </c>
      <c r="O150" s="38">
        <v>0.0</v>
      </c>
      <c r="P150" s="38">
        <v>0.0</v>
      </c>
      <c r="Q150" s="38">
        <v>0.0</v>
      </c>
      <c r="R150" s="38">
        <v>243.0</v>
      </c>
      <c r="S150" s="26"/>
    </row>
    <row r="151" ht="15.75" customHeight="1">
      <c r="A151" s="38" t="s">
        <v>175</v>
      </c>
      <c r="B151" s="38" t="s">
        <v>219</v>
      </c>
      <c r="C151" s="38">
        <v>0.0</v>
      </c>
      <c r="D151" s="39">
        <f t="shared" si="1"/>
        <v>-0.399091499</v>
      </c>
      <c r="E151" s="38">
        <v>0.0</v>
      </c>
      <c r="F151" s="38">
        <v>0.0</v>
      </c>
      <c r="G151" s="38">
        <v>0.0</v>
      </c>
      <c r="H151" s="38">
        <v>0.0</v>
      </c>
      <c r="I151" s="38">
        <v>0.0</v>
      </c>
      <c r="J151" s="38">
        <v>0.0</v>
      </c>
      <c r="K151" s="38">
        <v>0.0</v>
      </c>
      <c r="L151" s="38">
        <v>0.0</v>
      </c>
      <c r="M151" s="38">
        <v>0.0</v>
      </c>
      <c r="N151" s="38">
        <v>0.0</v>
      </c>
      <c r="O151" s="38">
        <v>10.0</v>
      </c>
      <c r="P151" s="38">
        <v>0.0</v>
      </c>
      <c r="Q151" s="38">
        <v>8.0</v>
      </c>
      <c r="R151" s="38">
        <v>18.0</v>
      </c>
      <c r="S151" s="26"/>
    </row>
    <row r="152" ht="15.75" customHeight="1">
      <c r="A152" s="38" t="s">
        <v>176</v>
      </c>
      <c r="B152" s="38" t="s">
        <v>219</v>
      </c>
      <c r="C152" s="38">
        <v>10.0</v>
      </c>
      <c r="D152" s="39">
        <f t="shared" si="1"/>
        <v>0.2498377677</v>
      </c>
      <c r="E152" s="38">
        <v>0.0</v>
      </c>
      <c r="F152" s="38">
        <v>0.0</v>
      </c>
      <c r="G152" s="38">
        <v>0.0</v>
      </c>
      <c r="H152" s="38">
        <v>0.0</v>
      </c>
      <c r="I152" s="38">
        <v>0.0</v>
      </c>
      <c r="J152" s="38">
        <v>153.0</v>
      </c>
      <c r="K152" s="38">
        <v>0.0</v>
      </c>
      <c r="L152" s="38">
        <v>0.0</v>
      </c>
      <c r="M152" s="38">
        <v>0.0</v>
      </c>
      <c r="N152" s="38">
        <v>0.0</v>
      </c>
      <c r="O152" s="38">
        <v>0.0</v>
      </c>
      <c r="P152" s="38">
        <v>0.0</v>
      </c>
      <c r="Q152" s="38">
        <v>0.0</v>
      </c>
      <c r="R152" s="38">
        <v>163.0</v>
      </c>
      <c r="S152" s="26"/>
    </row>
    <row r="153" ht="15.75" customHeight="1">
      <c r="A153" s="38" t="s">
        <v>177</v>
      </c>
      <c r="B153" s="38" t="s">
        <v>219</v>
      </c>
      <c r="C153" s="38">
        <v>0.0</v>
      </c>
      <c r="D153" s="39">
        <f t="shared" si="1"/>
        <v>-0.399091499</v>
      </c>
      <c r="E153" s="38">
        <v>0.0</v>
      </c>
      <c r="F153" s="38">
        <v>0.0</v>
      </c>
      <c r="G153" s="38">
        <v>0.0</v>
      </c>
      <c r="H153" s="38">
        <v>0.0</v>
      </c>
      <c r="I153" s="38">
        <v>0.0</v>
      </c>
      <c r="J153" s="38">
        <v>102.0</v>
      </c>
      <c r="K153" s="38">
        <v>0.0</v>
      </c>
      <c r="L153" s="38">
        <v>0.0</v>
      </c>
      <c r="M153" s="38">
        <v>200.0</v>
      </c>
      <c r="N153" s="38">
        <v>12.0</v>
      </c>
      <c r="O153" s="38">
        <v>0.0</v>
      </c>
      <c r="P153" s="38">
        <v>5.0</v>
      </c>
      <c r="Q153" s="38">
        <v>0.0</v>
      </c>
      <c r="R153" s="38">
        <v>319.0</v>
      </c>
      <c r="S153" s="26"/>
    </row>
    <row r="154" ht="15.75" customHeight="1">
      <c r="A154" s="38" t="s">
        <v>178</v>
      </c>
      <c r="B154" s="38" t="s">
        <v>219</v>
      </c>
      <c r="C154" s="38">
        <v>0.0</v>
      </c>
      <c r="D154" s="39">
        <f t="shared" si="1"/>
        <v>-0.399091499</v>
      </c>
      <c r="E154" s="38">
        <v>13.0</v>
      </c>
      <c r="F154" s="38">
        <v>0.0</v>
      </c>
      <c r="G154" s="38">
        <v>0.0</v>
      </c>
      <c r="H154" s="38">
        <v>46.0</v>
      </c>
      <c r="I154" s="38">
        <v>71.0</v>
      </c>
      <c r="J154" s="38">
        <v>0.0</v>
      </c>
      <c r="K154" s="38">
        <v>0.0</v>
      </c>
      <c r="L154" s="38">
        <v>200.0</v>
      </c>
      <c r="M154" s="38">
        <v>100.0</v>
      </c>
      <c r="N154" s="38">
        <v>0.0</v>
      </c>
      <c r="O154" s="38">
        <v>0.0</v>
      </c>
      <c r="P154" s="38">
        <v>0.0</v>
      </c>
      <c r="Q154" s="38">
        <v>0.0</v>
      </c>
      <c r="R154" s="38">
        <v>430.0</v>
      </c>
      <c r="S154" s="26"/>
    </row>
    <row r="155" ht="15.75" customHeight="1">
      <c r="A155" s="38" t="s">
        <v>179</v>
      </c>
      <c r="B155" s="38" t="s">
        <v>219</v>
      </c>
      <c r="C155" s="38">
        <v>0.0</v>
      </c>
      <c r="D155" s="39">
        <f t="shared" si="1"/>
        <v>-0.399091499</v>
      </c>
      <c r="E155" s="38">
        <v>0.0</v>
      </c>
      <c r="F155" s="38">
        <v>10.0</v>
      </c>
      <c r="G155" s="38">
        <v>20.0</v>
      </c>
      <c r="H155" s="38">
        <v>0.0</v>
      </c>
      <c r="I155" s="38">
        <v>0.0</v>
      </c>
      <c r="J155" s="38">
        <v>102.0</v>
      </c>
      <c r="K155" s="38">
        <v>0.0</v>
      </c>
      <c r="L155" s="38">
        <v>0.0</v>
      </c>
      <c r="M155" s="38">
        <v>75.0</v>
      </c>
      <c r="N155" s="38">
        <v>4.0</v>
      </c>
      <c r="O155" s="38">
        <v>5.0</v>
      </c>
      <c r="P155" s="38">
        <v>0.0</v>
      </c>
      <c r="Q155" s="38">
        <v>0.0</v>
      </c>
      <c r="R155" s="38">
        <v>216.0</v>
      </c>
      <c r="S155" s="26"/>
    </row>
    <row r="156" ht="15.75" customHeight="1">
      <c r="A156" s="38" t="s">
        <v>220</v>
      </c>
      <c r="B156" s="38" t="s">
        <v>221</v>
      </c>
      <c r="C156" s="38">
        <v>0.0</v>
      </c>
      <c r="D156" s="39">
        <f t="shared" si="1"/>
        <v>-0.399091499</v>
      </c>
      <c r="E156" s="38">
        <v>0.0</v>
      </c>
      <c r="F156" s="38">
        <v>10.0</v>
      </c>
      <c r="G156" s="38">
        <v>0.0</v>
      </c>
      <c r="H156" s="38">
        <v>0.0</v>
      </c>
      <c r="I156" s="38">
        <v>0.0</v>
      </c>
      <c r="J156" s="38">
        <v>561.0</v>
      </c>
      <c r="K156" s="38">
        <v>0.0</v>
      </c>
      <c r="L156" s="38">
        <v>0.0</v>
      </c>
      <c r="M156" s="38">
        <v>150.0</v>
      </c>
      <c r="N156" s="38">
        <v>0.0</v>
      </c>
      <c r="O156" s="38">
        <v>0.0</v>
      </c>
      <c r="P156" s="38">
        <v>0.0</v>
      </c>
      <c r="Q156" s="38">
        <v>0.0</v>
      </c>
      <c r="R156" s="38">
        <v>721.0</v>
      </c>
      <c r="S156" s="26"/>
    </row>
    <row r="157" ht="15.75" customHeight="1">
      <c r="A157" s="38" t="s">
        <v>222</v>
      </c>
      <c r="B157" s="38" t="s">
        <v>221</v>
      </c>
      <c r="C157" s="38">
        <v>0.0</v>
      </c>
      <c r="D157" s="39">
        <f t="shared" si="1"/>
        <v>-0.399091499</v>
      </c>
      <c r="E157" s="38">
        <v>95.0</v>
      </c>
      <c r="F157" s="38">
        <v>3.0</v>
      </c>
      <c r="G157" s="38">
        <v>0.0</v>
      </c>
      <c r="H157" s="38">
        <v>0.0</v>
      </c>
      <c r="I157" s="38">
        <v>0.0</v>
      </c>
      <c r="J157" s="38">
        <v>0.0</v>
      </c>
      <c r="K157" s="38">
        <v>0.0</v>
      </c>
      <c r="L157" s="38">
        <v>400.0</v>
      </c>
      <c r="M157" s="38">
        <v>0.0</v>
      </c>
      <c r="N157" s="38">
        <v>3.0</v>
      </c>
      <c r="O157" s="38">
        <v>0.0</v>
      </c>
      <c r="P157" s="38">
        <v>0.0</v>
      </c>
      <c r="Q157" s="38">
        <v>0.0</v>
      </c>
      <c r="R157" s="38">
        <v>501.0</v>
      </c>
      <c r="S157" s="26"/>
    </row>
    <row r="158" ht="15.75" customHeight="1">
      <c r="A158" s="38" t="s">
        <v>223</v>
      </c>
      <c r="B158" s="38" t="s">
        <v>221</v>
      </c>
      <c r="C158" s="38">
        <v>0.0</v>
      </c>
      <c r="D158" s="39">
        <f t="shared" si="1"/>
        <v>-0.399091499</v>
      </c>
      <c r="E158" s="38">
        <v>0.0</v>
      </c>
      <c r="F158" s="38">
        <v>0.0</v>
      </c>
      <c r="G158" s="38">
        <v>0.0</v>
      </c>
      <c r="H158" s="38">
        <v>0.0</v>
      </c>
      <c r="I158" s="38">
        <v>0.0</v>
      </c>
      <c r="J158" s="38">
        <v>0.0</v>
      </c>
      <c r="K158" s="38">
        <v>150.0</v>
      </c>
      <c r="L158" s="38">
        <v>0.0</v>
      </c>
      <c r="M158" s="38">
        <v>0.0</v>
      </c>
      <c r="N158" s="38">
        <v>5.0</v>
      </c>
      <c r="O158" s="38">
        <v>7.0</v>
      </c>
      <c r="P158" s="38">
        <v>0.0</v>
      </c>
      <c r="Q158" s="38">
        <v>0.0</v>
      </c>
      <c r="R158" s="38">
        <v>162.0</v>
      </c>
      <c r="S158" s="26"/>
    </row>
    <row r="159" ht="15.75" customHeight="1">
      <c r="A159" s="38" t="s">
        <v>224</v>
      </c>
      <c r="B159" s="38" t="s">
        <v>221</v>
      </c>
      <c r="C159" s="38">
        <v>0.0</v>
      </c>
      <c r="D159" s="39">
        <f t="shared" si="1"/>
        <v>-0.399091499</v>
      </c>
      <c r="E159" s="38">
        <v>0.0</v>
      </c>
      <c r="F159" s="38">
        <v>0.0</v>
      </c>
      <c r="G159" s="38">
        <v>0.0</v>
      </c>
      <c r="H159" s="38">
        <v>0.0</v>
      </c>
      <c r="I159" s="38">
        <v>71.0</v>
      </c>
      <c r="J159" s="38">
        <v>0.0</v>
      </c>
      <c r="K159" s="38">
        <v>0.0</v>
      </c>
      <c r="L159" s="38">
        <v>150.0</v>
      </c>
      <c r="M159" s="38">
        <v>200.0</v>
      </c>
      <c r="N159" s="38">
        <v>0.0</v>
      </c>
      <c r="O159" s="38">
        <v>0.0</v>
      </c>
      <c r="P159" s="38">
        <v>0.0</v>
      </c>
      <c r="Q159" s="38">
        <v>0.0</v>
      </c>
      <c r="R159" s="38">
        <v>421.0</v>
      </c>
      <c r="S159" s="26"/>
    </row>
    <row r="160" ht="15.75" customHeight="1">
      <c r="A160" s="38" t="s">
        <v>225</v>
      </c>
      <c r="B160" s="38" t="s">
        <v>221</v>
      </c>
      <c r="C160" s="38">
        <v>4.0</v>
      </c>
      <c r="D160" s="39">
        <f t="shared" si="1"/>
        <v>-0.1395197923</v>
      </c>
      <c r="E160" s="38">
        <v>0.0</v>
      </c>
      <c r="F160" s="38">
        <v>4.0</v>
      </c>
      <c r="G160" s="38">
        <v>0.0</v>
      </c>
      <c r="H160" s="38">
        <v>0.0</v>
      </c>
      <c r="I160" s="38">
        <v>0.0</v>
      </c>
      <c r="J160" s="38">
        <v>255.0</v>
      </c>
      <c r="K160" s="38">
        <v>0.0</v>
      </c>
      <c r="L160" s="38">
        <v>0.0</v>
      </c>
      <c r="M160" s="38">
        <v>0.0</v>
      </c>
      <c r="N160" s="38">
        <v>0.0</v>
      </c>
      <c r="O160" s="38">
        <v>0.0</v>
      </c>
      <c r="P160" s="38">
        <v>0.0</v>
      </c>
      <c r="Q160" s="38">
        <v>0.0</v>
      </c>
      <c r="R160" s="38">
        <v>263.0</v>
      </c>
      <c r="S160" s="26"/>
    </row>
    <row r="161" ht="15.75" customHeight="1">
      <c r="A161" s="38" t="s">
        <v>226</v>
      </c>
      <c r="B161" s="38" t="s">
        <v>221</v>
      </c>
      <c r="C161" s="38">
        <v>60.0</v>
      </c>
      <c r="D161" s="39">
        <f t="shared" si="1"/>
        <v>3.494484101</v>
      </c>
      <c r="E161" s="38">
        <v>0.0</v>
      </c>
      <c r="F161" s="38">
        <v>0.0</v>
      </c>
      <c r="G161" s="38">
        <v>0.0</v>
      </c>
      <c r="H161" s="38">
        <v>0.0</v>
      </c>
      <c r="I161" s="38">
        <v>284.0</v>
      </c>
      <c r="J161" s="38">
        <v>0.0</v>
      </c>
      <c r="K161" s="38">
        <v>0.0</v>
      </c>
      <c r="L161" s="38">
        <v>200.0</v>
      </c>
      <c r="M161" s="38">
        <v>0.0</v>
      </c>
      <c r="N161" s="38">
        <v>0.0</v>
      </c>
      <c r="O161" s="38">
        <v>5.0</v>
      </c>
      <c r="P161" s="38">
        <v>0.0</v>
      </c>
      <c r="Q161" s="38">
        <v>0.0</v>
      </c>
      <c r="R161" s="38">
        <v>549.0</v>
      </c>
      <c r="S161" s="26"/>
    </row>
    <row r="162" ht="15.75" customHeight="1">
      <c r="A162" s="38" t="s">
        <v>227</v>
      </c>
      <c r="B162" s="38" t="s">
        <v>221</v>
      </c>
      <c r="C162" s="38">
        <v>0.0</v>
      </c>
      <c r="D162" s="39">
        <f t="shared" si="1"/>
        <v>-0.399091499</v>
      </c>
      <c r="E162" s="38">
        <v>0.0</v>
      </c>
      <c r="F162" s="38">
        <v>0.0</v>
      </c>
      <c r="G162" s="38">
        <v>0.0</v>
      </c>
      <c r="H162" s="38">
        <v>0.0</v>
      </c>
      <c r="I162" s="38">
        <v>0.0</v>
      </c>
      <c r="J162" s="38">
        <v>0.0</v>
      </c>
      <c r="K162" s="38">
        <v>0.0</v>
      </c>
      <c r="L162" s="38">
        <v>0.0</v>
      </c>
      <c r="M162" s="38">
        <v>150.0</v>
      </c>
      <c r="N162" s="38">
        <v>20.0</v>
      </c>
      <c r="O162" s="38">
        <v>0.0</v>
      </c>
      <c r="P162" s="38">
        <v>10.0</v>
      </c>
      <c r="Q162" s="38">
        <v>0.0</v>
      </c>
      <c r="R162" s="38">
        <v>180.0</v>
      </c>
      <c r="S162" s="26"/>
    </row>
    <row r="163" ht="15.75" customHeight="1">
      <c r="A163" s="38" t="s">
        <v>228</v>
      </c>
      <c r="B163" s="38" t="s">
        <v>221</v>
      </c>
      <c r="C163" s="38">
        <v>0.0</v>
      </c>
      <c r="D163" s="39">
        <f t="shared" si="1"/>
        <v>-0.399091499</v>
      </c>
      <c r="E163" s="38">
        <v>60.0</v>
      </c>
      <c r="F163" s="38">
        <v>90.0</v>
      </c>
      <c r="G163" s="38">
        <v>0.0</v>
      </c>
      <c r="H163" s="38">
        <v>0.0</v>
      </c>
      <c r="I163" s="38">
        <v>0.0</v>
      </c>
      <c r="J163" s="38">
        <v>0.0</v>
      </c>
      <c r="K163" s="38">
        <v>25.0</v>
      </c>
      <c r="L163" s="38">
        <v>10.0</v>
      </c>
      <c r="M163" s="38">
        <v>0.0</v>
      </c>
      <c r="N163" s="38">
        <v>0.0</v>
      </c>
      <c r="O163" s="38">
        <v>0.0</v>
      </c>
      <c r="P163" s="38">
        <v>10.0</v>
      </c>
      <c r="Q163" s="38">
        <v>0.0</v>
      </c>
      <c r="R163" s="38">
        <v>195.0</v>
      </c>
      <c r="S163" s="26"/>
    </row>
    <row r="164" ht="15.75" customHeight="1">
      <c r="A164" s="38" t="s">
        <v>229</v>
      </c>
      <c r="B164" s="38" t="s">
        <v>221</v>
      </c>
      <c r="C164" s="38">
        <v>4.0</v>
      </c>
      <c r="D164" s="39">
        <f t="shared" si="1"/>
        <v>-0.1395197923</v>
      </c>
      <c r="E164" s="38">
        <v>0.0</v>
      </c>
      <c r="F164" s="38">
        <v>0.0</v>
      </c>
      <c r="G164" s="38">
        <v>0.0</v>
      </c>
      <c r="H164" s="38">
        <v>0.0</v>
      </c>
      <c r="I164" s="38">
        <v>0.0</v>
      </c>
      <c r="J164" s="38">
        <v>153.0</v>
      </c>
      <c r="K164" s="38">
        <v>0.0</v>
      </c>
      <c r="L164" s="38">
        <v>0.0</v>
      </c>
      <c r="M164" s="38">
        <v>0.0</v>
      </c>
      <c r="N164" s="38">
        <v>0.0</v>
      </c>
      <c r="O164" s="38">
        <v>0.0</v>
      </c>
      <c r="P164" s="38">
        <v>0.0</v>
      </c>
      <c r="Q164" s="38">
        <v>0.0</v>
      </c>
      <c r="R164" s="38">
        <v>157.0</v>
      </c>
      <c r="S164" s="26"/>
    </row>
    <row r="165" ht="15.75" customHeight="1">
      <c r="A165" s="38" t="s">
        <v>230</v>
      </c>
      <c r="B165" s="38" t="s">
        <v>221</v>
      </c>
      <c r="C165" s="38">
        <v>2.0</v>
      </c>
      <c r="D165" s="39">
        <f t="shared" si="1"/>
        <v>-0.2693056457</v>
      </c>
      <c r="E165" s="38">
        <v>0.0</v>
      </c>
      <c r="F165" s="38">
        <v>1.0</v>
      </c>
      <c r="G165" s="38">
        <v>0.0</v>
      </c>
      <c r="H165" s="38">
        <v>0.0</v>
      </c>
      <c r="I165" s="38">
        <v>0.0</v>
      </c>
      <c r="J165" s="38">
        <v>0.0</v>
      </c>
      <c r="K165" s="38">
        <v>0.0</v>
      </c>
      <c r="L165" s="38">
        <v>0.0</v>
      </c>
      <c r="M165" s="38">
        <v>120.0</v>
      </c>
      <c r="N165" s="38">
        <v>0.0</v>
      </c>
      <c r="O165" s="38">
        <v>5.0</v>
      </c>
      <c r="P165" s="38">
        <v>0.0</v>
      </c>
      <c r="Q165" s="38">
        <v>0.0</v>
      </c>
      <c r="R165" s="38">
        <v>128.0</v>
      </c>
      <c r="S165" s="26"/>
    </row>
    <row r="166" ht="15.75" customHeight="1">
      <c r="A166" s="38" t="s">
        <v>231</v>
      </c>
      <c r="B166" s="38" t="s">
        <v>221</v>
      </c>
      <c r="C166" s="38">
        <v>0.0</v>
      </c>
      <c r="D166" s="39">
        <f t="shared" si="1"/>
        <v>-0.399091499</v>
      </c>
      <c r="E166" s="38">
        <v>0.0</v>
      </c>
      <c r="F166" s="38">
        <v>80.0</v>
      </c>
      <c r="G166" s="38">
        <v>0.0</v>
      </c>
      <c r="H166" s="38">
        <v>0.0</v>
      </c>
      <c r="I166" s="38">
        <v>0.0</v>
      </c>
      <c r="J166" s="38">
        <v>0.0</v>
      </c>
      <c r="K166" s="38">
        <v>0.0</v>
      </c>
      <c r="L166" s="38">
        <v>0.0</v>
      </c>
      <c r="M166" s="38">
        <v>250.0</v>
      </c>
      <c r="N166" s="38">
        <v>0.0</v>
      </c>
      <c r="O166" s="38">
        <v>0.0</v>
      </c>
      <c r="P166" s="38">
        <v>0.0</v>
      </c>
      <c r="Q166" s="38">
        <v>2.0</v>
      </c>
      <c r="R166" s="38">
        <v>332.0</v>
      </c>
      <c r="S166" s="26"/>
    </row>
    <row r="167" ht="15.75" customHeight="1">
      <c r="A167" s="38" t="s">
        <v>232</v>
      </c>
      <c r="B167" s="38" t="s">
        <v>221</v>
      </c>
      <c r="C167" s="38">
        <v>100.0</v>
      </c>
      <c r="D167" s="39">
        <f t="shared" si="1"/>
        <v>6.090201168</v>
      </c>
      <c r="E167" s="38">
        <v>0.0</v>
      </c>
      <c r="F167" s="38">
        <v>4.0</v>
      </c>
      <c r="G167" s="38">
        <v>0.0</v>
      </c>
      <c r="H167" s="38">
        <v>0.0</v>
      </c>
      <c r="I167" s="38">
        <v>142.0</v>
      </c>
      <c r="J167" s="38">
        <v>102.0</v>
      </c>
      <c r="K167" s="38">
        <v>0.0</v>
      </c>
      <c r="L167" s="38">
        <v>0.0</v>
      </c>
      <c r="M167" s="38">
        <v>0.0</v>
      </c>
      <c r="N167" s="38">
        <v>0.0</v>
      </c>
      <c r="O167" s="38">
        <v>10.0</v>
      </c>
      <c r="P167" s="38">
        <v>0.0</v>
      </c>
      <c r="Q167" s="38">
        <v>0.0</v>
      </c>
      <c r="R167" s="38">
        <v>358.0</v>
      </c>
      <c r="S167" s="26"/>
    </row>
    <row r="168" ht="15.75" customHeight="1">
      <c r="A168" s="38" t="s">
        <v>180</v>
      </c>
      <c r="B168" s="38" t="s">
        <v>221</v>
      </c>
      <c r="C168" s="38">
        <v>12.0</v>
      </c>
      <c r="D168" s="39">
        <f t="shared" si="1"/>
        <v>0.379623621</v>
      </c>
      <c r="E168" s="38">
        <v>0.0</v>
      </c>
      <c r="F168" s="38">
        <v>0.0</v>
      </c>
      <c r="G168" s="38">
        <v>0.0</v>
      </c>
      <c r="H168" s="38">
        <v>0.0</v>
      </c>
      <c r="I168" s="38">
        <v>71.0</v>
      </c>
      <c r="J168" s="38">
        <v>102.0</v>
      </c>
      <c r="K168" s="38">
        <v>0.0</v>
      </c>
      <c r="L168" s="38">
        <v>30.0</v>
      </c>
      <c r="M168" s="38">
        <v>0.0</v>
      </c>
      <c r="N168" s="38">
        <v>0.0</v>
      </c>
      <c r="O168" s="38">
        <v>0.0</v>
      </c>
      <c r="P168" s="38">
        <v>0.0</v>
      </c>
      <c r="Q168" s="38">
        <v>0.0</v>
      </c>
      <c r="R168" s="38">
        <v>215.0</v>
      </c>
      <c r="S168" s="26"/>
    </row>
    <row r="169" ht="15.75" customHeight="1">
      <c r="A169" s="38" t="s">
        <v>181</v>
      </c>
      <c r="B169" s="38" t="s">
        <v>221</v>
      </c>
      <c r="C169" s="38">
        <v>0.0</v>
      </c>
      <c r="D169" s="39">
        <f t="shared" si="1"/>
        <v>-0.399091499</v>
      </c>
      <c r="E169" s="38">
        <v>0.0</v>
      </c>
      <c r="F169" s="38">
        <v>80.0</v>
      </c>
      <c r="G169" s="38">
        <v>0.0</v>
      </c>
      <c r="H169" s="38">
        <v>0.0</v>
      </c>
      <c r="I169" s="38">
        <v>0.0</v>
      </c>
      <c r="J169" s="38">
        <v>0.0</v>
      </c>
      <c r="K169" s="38">
        <v>0.0</v>
      </c>
      <c r="L169" s="38">
        <v>0.0</v>
      </c>
      <c r="M169" s="38">
        <v>250.0</v>
      </c>
      <c r="N169" s="38">
        <v>0.0</v>
      </c>
      <c r="O169" s="38">
        <v>20.0</v>
      </c>
      <c r="P169" s="38">
        <v>0.0</v>
      </c>
      <c r="Q169" s="38">
        <v>0.0</v>
      </c>
      <c r="R169" s="38">
        <v>350.0</v>
      </c>
      <c r="S169" s="26"/>
    </row>
    <row r="170" ht="15.75" customHeight="1">
      <c r="A170" s="38" t="s">
        <v>182</v>
      </c>
      <c r="B170" s="38" t="s">
        <v>221</v>
      </c>
      <c r="C170" s="38">
        <v>0.0</v>
      </c>
      <c r="D170" s="39">
        <f t="shared" si="1"/>
        <v>-0.399091499</v>
      </c>
      <c r="E170" s="38">
        <v>15.0</v>
      </c>
      <c r="F170" s="38">
        <v>0.0</v>
      </c>
      <c r="G170" s="38">
        <v>0.0</v>
      </c>
      <c r="H170" s="38">
        <v>0.0</v>
      </c>
      <c r="I170" s="38">
        <v>71.0</v>
      </c>
      <c r="J170" s="38">
        <v>0.0</v>
      </c>
      <c r="K170" s="38">
        <v>0.0</v>
      </c>
      <c r="L170" s="38">
        <v>100.0</v>
      </c>
      <c r="M170" s="38">
        <v>20.0</v>
      </c>
      <c r="N170" s="38">
        <v>0.0</v>
      </c>
      <c r="O170" s="38">
        <v>0.0</v>
      </c>
      <c r="P170" s="38">
        <v>0.0</v>
      </c>
      <c r="Q170" s="38">
        <v>0.0</v>
      </c>
      <c r="R170" s="38">
        <v>206.0</v>
      </c>
      <c r="S170" s="26"/>
    </row>
    <row r="171" ht="15.75" customHeight="1">
      <c r="A171" s="38" t="s">
        <v>183</v>
      </c>
      <c r="B171" s="38" t="s">
        <v>221</v>
      </c>
      <c r="C171" s="38">
        <v>0.0</v>
      </c>
      <c r="D171" s="39">
        <f t="shared" si="1"/>
        <v>-0.399091499</v>
      </c>
      <c r="E171" s="38">
        <v>0.0</v>
      </c>
      <c r="F171" s="38">
        <v>0.0</v>
      </c>
      <c r="G171" s="38">
        <v>0.0</v>
      </c>
      <c r="H171" s="38">
        <v>0.0</v>
      </c>
      <c r="I171" s="38">
        <v>0.0</v>
      </c>
      <c r="J171" s="38">
        <v>151.0</v>
      </c>
      <c r="K171" s="38">
        <v>50.0</v>
      </c>
      <c r="L171" s="38">
        <v>0.0</v>
      </c>
      <c r="M171" s="38">
        <v>0.0</v>
      </c>
      <c r="N171" s="38">
        <v>0.0</v>
      </c>
      <c r="O171" s="38">
        <v>0.0</v>
      </c>
      <c r="P171" s="38">
        <v>0.0</v>
      </c>
      <c r="Q171" s="38">
        <v>0.0</v>
      </c>
      <c r="R171" s="38">
        <v>201.0</v>
      </c>
      <c r="S171" s="26"/>
    </row>
    <row r="172" ht="15.75" customHeight="1">
      <c r="A172" s="38" t="s">
        <v>184</v>
      </c>
      <c r="B172" s="38" t="s">
        <v>221</v>
      </c>
      <c r="C172" s="38">
        <v>0.0</v>
      </c>
      <c r="D172" s="39">
        <f t="shared" si="1"/>
        <v>-0.399091499</v>
      </c>
      <c r="E172" s="38">
        <v>0.0</v>
      </c>
      <c r="F172" s="38">
        <v>0.0</v>
      </c>
      <c r="G172" s="38">
        <v>30.0</v>
      </c>
      <c r="H172" s="38">
        <v>0.0</v>
      </c>
      <c r="I172" s="38">
        <v>0.0</v>
      </c>
      <c r="J172" s="38">
        <v>0.0</v>
      </c>
      <c r="K172" s="38">
        <v>25.0</v>
      </c>
      <c r="L172" s="38">
        <v>0.0</v>
      </c>
      <c r="M172" s="38">
        <v>40.0</v>
      </c>
      <c r="N172" s="38">
        <v>0.0</v>
      </c>
      <c r="O172" s="38">
        <v>0.0</v>
      </c>
      <c r="P172" s="38">
        <v>0.0</v>
      </c>
      <c r="Q172" s="38">
        <v>0.0</v>
      </c>
      <c r="R172" s="38">
        <v>95.0</v>
      </c>
      <c r="S172" s="26"/>
    </row>
    <row r="173" ht="15.75" customHeight="1">
      <c r="A173" s="38" t="s">
        <v>185</v>
      </c>
      <c r="B173" s="38" t="s">
        <v>221</v>
      </c>
      <c r="C173" s="38">
        <v>45.0</v>
      </c>
      <c r="D173" s="39">
        <f t="shared" si="1"/>
        <v>2.521090201</v>
      </c>
      <c r="E173" s="38">
        <v>100.0</v>
      </c>
      <c r="F173" s="38">
        <v>0.0</v>
      </c>
      <c r="G173" s="38">
        <v>0.0</v>
      </c>
      <c r="H173" s="38">
        <v>0.0</v>
      </c>
      <c r="I173" s="38">
        <v>0.0</v>
      </c>
      <c r="J173" s="38">
        <v>0.0</v>
      </c>
      <c r="K173" s="38">
        <v>0.0</v>
      </c>
      <c r="L173" s="38">
        <v>0.0</v>
      </c>
      <c r="M173" s="38">
        <v>25.0</v>
      </c>
      <c r="N173" s="38">
        <v>0.0</v>
      </c>
      <c r="O173" s="38">
        <v>0.0</v>
      </c>
      <c r="P173" s="38">
        <v>0.0</v>
      </c>
      <c r="Q173" s="38">
        <v>0.0</v>
      </c>
      <c r="R173" s="38">
        <v>170.0</v>
      </c>
      <c r="S173" s="26"/>
    </row>
    <row r="174" ht="15.75" customHeight="1">
      <c r="A174" s="38" t="s">
        <v>186</v>
      </c>
      <c r="B174" s="38" t="s">
        <v>221</v>
      </c>
      <c r="C174" s="38">
        <v>0.0</v>
      </c>
      <c r="D174" s="39">
        <f t="shared" si="1"/>
        <v>-0.399091499</v>
      </c>
      <c r="E174" s="38">
        <v>0.0</v>
      </c>
      <c r="F174" s="38">
        <v>0.0</v>
      </c>
      <c r="G174" s="38">
        <v>0.0</v>
      </c>
      <c r="H174" s="38">
        <v>0.0</v>
      </c>
      <c r="I174" s="38">
        <v>71.0</v>
      </c>
      <c r="J174" s="38">
        <v>0.0</v>
      </c>
      <c r="K174" s="38">
        <v>0.0</v>
      </c>
      <c r="L174" s="38">
        <v>0.0</v>
      </c>
      <c r="M174" s="38">
        <v>0.0</v>
      </c>
      <c r="N174" s="38">
        <v>0.0</v>
      </c>
      <c r="O174" s="38">
        <v>4.0</v>
      </c>
      <c r="P174" s="38">
        <v>0.0</v>
      </c>
      <c r="Q174" s="38">
        <v>0.0</v>
      </c>
      <c r="R174" s="38">
        <v>75.0</v>
      </c>
      <c r="S174" s="26"/>
    </row>
    <row r="175" ht="15.75" customHeight="1">
      <c r="A175" s="38" t="s">
        <v>187</v>
      </c>
      <c r="B175" s="38" t="s">
        <v>221</v>
      </c>
      <c r="C175" s="38">
        <v>40.0</v>
      </c>
      <c r="D175" s="39">
        <f t="shared" si="1"/>
        <v>2.196625568</v>
      </c>
      <c r="E175" s="38">
        <v>0.0</v>
      </c>
      <c r="F175" s="38">
        <v>25.0</v>
      </c>
      <c r="G175" s="38">
        <v>0.0</v>
      </c>
      <c r="H175" s="38">
        <v>0.0</v>
      </c>
      <c r="I175" s="38">
        <v>0.0</v>
      </c>
      <c r="J175" s="38">
        <v>102.0</v>
      </c>
      <c r="K175" s="38">
        <v>0.0</v>
      </c>
      <c r="L175" s="38">
        <v>0.0</v>
      </c>
      <c r="M175" s="38">
        <v>0.0</v>
      </c>
      <c r="N175" s="38">
        <v>5.0</v>
      </c>
      <c r="O175" s="38">
        <v>0.0</v>
      </c>
      <c r="P175" s="38">
        <v>0.0</v>
      </c>
      <c r="Q175" s="38">
        <v>0.0</v>
      </c>
      <c r="R175" s="38">
        <v>172.0</v>
      </c>
      <c r="S175" s="26"/>
    </row>
    <row r="176" ht="15.75" customHeight="1">
      <c r="A176" s="38" t="s">
        <v>188</v>
      </c>
      <c r="B176" s="38" t="s">
        <v>221</v>
      </c>
      <c r="C176" s="38">
        <v>0.0</v>
      </c>
      <c r="D176" s="39">
        <f t="shared" si="1"/>
        <v>-0.399091499</v>
      </c>
      <c r="E176" s="38">
        <v>0.0</v>
      </c>
      <c r="F176" s="38">
        <v>0.0</v>
      </c>
      <c r="G176" s="38">
        <v>0.0</v>
      </c>
      <c r="H176" s="38">
        <v>0.0</v>
      </c>
      <c r="I176" s="38">
        <v>0.0</v>
      </c>
      <c r="J176" s="38">
        <v>0.0</v>
      </c>
      <c r="K176" s="38">
        <v>0.0</v>
      </c>
      <c r="L176" s="38">
        <v>0.0</v>
      </c>
      <c r="M176" s="38">
        <v>0.0</v>
      </c>
      <c r="N176" s="38">
        <v>0.0</v>
      </c>
      <c r="O176" s="38">
        <v>20.0</v>
      </c>
      <c r="P176" s="38">
        <v>0.0</v>
      </c>
      <c r="Q176" s="38">
        <v>0.0</v>
      </c>
      <c r="R176" s="38">
        <v>20.0</v>
      </c>
      <c r="S176" s="26"/>
    </row>
    <row r="177" ht="15.75" customHeight="1">
      <c r="A177" s="38" t="s">
        <v>189</v>
      </c>
      <c r="B177" s="38" t="s">
        <v>221</v>
      </c>
      <c r="C177" s="38">
        <v>40.0</v>
      </c>
      <c r="D177" s="39">
        <f t="shared" si="1"/>
        <v>2.196625568</v>
      </c>
      <c r="E177" s="38">
        <v>0.0</v>
      </c>
      <c r="F177" s="38">
        <v>0.0</v>
      </c>
      <c r="G177" s="38">
        <v>0.0</v>
      </c>
      <c r="H177" s="38">
        <v>92.0</v>
      </c>
      <c r="I177" s="38">
        <v>0.0</v>
      </c>
      <c r="J177" s="38">
        <v>0.0</v>
      </c>
      <c r="K177" s="38">
        <v>0.0</v>
      </c>
      <c r="L177" s="38">
        <v>300.0</v>
      </c>
      <c r="M177" s="38">
        <v>150.0</v>
      </c>
      <c r="N177" s="38">
        <v>0.0</v>
      </c>
      <c r="O177" s="38">
        <v>0.0</v>
      </c>
      <c r="P177" s="38">
        <v>0.0</v>
      </c>
      <c r="Q177" s="38">
        <v>0.0</v>
      </c>
      <c r="R177" s="38">
        <v>582.0</v>
      </c>
      <c r="S177" s="26"/>
    </row>
    <row r="178" ht="15.75" customHeight="1">
      <c r="A178" s="38" t="s">
        <v>190</v>
      </c>
      <c r="B178" s="38" t="s">
        <v>221</v>
      </c>
      <c r="C178" s="38">
        <v>0.0</v>
      </c>
      <c r="D178" s="39">
        <f t="shared" si="1"/>
        <v>-0.399091499</v>
      </c>
      <c r="E178" s="38">
        <v>0.0</v>
      </c>
      <c r="F178" s="38">
        <v>5.0</v>
      </c>
      <c r="G178" s="38">
        <v>0.0</v>
      </c>
      <c r="H178" s="38">
        <v>0.0</v>
      </c>
      <c r="I178" s="38">
        <v>0.0</v>
      </c>
      <c r="J178" s="38">
        <v>0.0</v>
      </c>
      <c r="K178" s="38">
        <v>300.0</v>
      </c>
      <c r="L178" s="38">
        <v>0.0</v>
      </c>
      <c r="M178" s="38">
        <v>0.0</v>
      </c>
      <c r="N178" s="38">
        <v>5.0</v>
      </c>
      <c r="O178" s="38">
        <v>0.0</v>
      </c>
      <c r="P178" s="38">
        <v>10.0</v>
      </c>
      <c r="Q178" s="38">
        <v>0.0</v>
      </c>
      <c r="R178" s="38">
        <v>320.0</v>
      </c>
      <c r="S178" s="26"/>
    </row>
    <row r="179" ht="15.75" customHeight="1">
      <c r="A179" s="38" t="s">
        <v>191</v>
      </c>
      <c r="B179" s="38" t="s">
        <v>221</v>
      </c>
      <c r="C179" s="38">
        <v>0.0</v>
      </c>
      <c r="D179" s="39">
        <f t="shared" si="1"/>
        <v>-0.399091499</v>
      </c>
      <c r="E179" s="38">
        <v>0.0</v>
      </c>
      <c r="F179" s="38">
        <v>0.0</v>
      </c>
      <c r="G179" s="38">
        <v>0.0</v>
      </c>
      <c r="H179" s="38">
        <v>0.0</v>
      </c>
      <c r="I179" s="38">
        <v>0.0</v>
      </c>
      <c r="J179" s="38">
        <v>0.0</v>
      </c>
      <c r="K179" s="38">
        <v>0.0</v>
      </c>
      <c r="L179" s="38">
        <v>100.0</v>
      </c>
      <c r="M179" s="38">
        <v>0.0</v>
      </c>
      <c r="N179" s="38">
        <v>0.0</v>
      </c>
      <c r="O179" s="38">
        <v>0.0</v>
      </c>
      <c r="P179" s="38">
        <v>10.0</v>
      </c>
      <c r="Q179" s="38">
        <v>0.0</v>
      </c>
      <c r="R179" s="38">
        <v>110.0</v>
      </c>
      <c r="S179" s="26"/>
    </row>
    <row r="180" ht="15.75" customHeight="1">
      <c r="A180" s="38" t="s">
        <v>192</v>
      </c>
      <c r="B180" s="38" t="s">
        <v>221</v>
      </c>
      <c r="C180" s="38">
        <v>0.0</v>
      </c>
      <c r="D180" s="39">
        <f t="shared" si="1"/>
        <v>-0.399091499</v>
      </c>
      <c r="E180" s="38">
        <v>50.0</v>
      </c>
      <c r="F180" s="38">
        <v>10.0</v>
      </c>
      <c r="G180" s="38">
        <v>0.0</v>
      </c>
      <c r="H180" s="38">
        <v>0.0</v>
      </c>
      <c r="I180" s="38">
        <v>0.0</v>
      </c>
      <c r="J180" s="38">
        <v>153.0</v>
      </c>
      <c r="K180" s="38">
        <v>0.0</v>
      </c>
      <c r="L180" s="38">
        <v>0.0</v>
      </c>
      <c r="M180" s="38">
        <v>0.0</v>
      </c>
      <c r="N180" s="38">
        <v>0.0</v>
      </c>
      <c r="O180" s="38">
        <v>0.0</v>
      </c>
      <c r="P180" s="38">
        <v>0.0</v>
      </c>
      <c r="Q180" s="38">
        <v>0.0</v>
      </c>
      <c r="R180" s="38">
        <v>213.0</v>
      </c>
      <c r="S180" s="26"/>
    </row>
    <row r="181" ht="15.75" customHeight="1">
      <c r="A181" s="38" t="s">
        <v>233</v>
      </c>
      <c r="B181" s="38" t="s">
        <v>221</v>
      </c>
      <c r="C181" s="38">
        <v>0.0</v>
      </c>
      <c r="D181" s="39">
        <f t="shared" si="1"/>
        <v>-0.399091499</v>
      </c>
      <c r="E181" s="38">
        <v>0.0</v>
      </c>
      <c r="F181" s="38">
        <v>0.0</v>
      </c>
      <c r="G181" s="38">
        <v>0.0</v>
      </c>
      <c r="H181" s="38">
        <v>0.0</v>
      </c>
      <c r="I181" s="38">
        <v>0.0</v>
      </c>
      <c r="J181" s="38">
        <v>0.0</v>
      </c>
      <c r="K181" s="38">
        <v>0.0</v>
      </c>
      <c r="L181" s="38">
        <v>0.0</v>
      </c>
      <c r="M181" s="38">
        <v>0.0</v>
      </c>
      <c r="N181" s="38">
        <v>0.0</v>
      </c>
      <c r="O181" s="38">
        <v>0.0</v>
      </c>
      <c r="P181" s="38">
        <v>0.0</v>
      </c>
      <c r="Q181" s="38">
        <v>0.0</v>
      </c>
      <c r="R181" s="38">
        <v>0.0</v>
      </c>
      <c r="S181" s="26"/>
    </row>
    <row r="182" ht="15.75" customHeight="1">
      <c r="A182" s="38" t="s">
        <v>193</v>
      </c>
      <c r="B182" s="38" t="s">
        <v>221</v>
      </c>
      <c r="C182" s="38">
        <v>0.0</v>
      </c>
      <c r="D182" s="39">
        <f t="shared" si="1"/>
        <v>-0.399091499</v>
      </c>
      <c r="E182" s="38">
        <v>0.0</v>
      </c>
      <c r="F182" s="38">
        <v>0.0</v>
      </c>
      <c r="G182" s="38">
        <v>0.0</v>
      </c>
      <c r="H182" s="38">
        <v>0.0</v>
      </c>
      <c r="I182" s="38">
        <v>142.0</v>
      </c>
      <c r="J182" s="38">
        <v>0.0</v>
      </c>
      <c r="K182" s="38">
        <v>0.0</v>
      </c>
      <c r="L182" s="38">
        <v>0.0</v>
      </c>
      <c r="M182" s="38">
        <v>0.0</v>
      </c>
      <c r="N182" s="38">
        <v>20.0</v>
      </c>
      <c r="O182" s="38">
        <v>5.0</v>
      </c>
      <c r="P182" s="38">
        <v>0.0</v>
      </c>
      <c r="Q182" s="38">
        <v>0.0</v>
      </c>
      <c r="R182" s="38">
        <v>167.0</v>
      </c>
      <c r="S182" s="26"/>
    </row>
    <row r="183" ht="15.75" customHeight="1">
      <c r="A183" s="38" t="s">
        <v>194</v>
      </c>
      <c r="B183" s="38" t="s">
        <v>221</v>
      </c>
      <c r="C183" s="38">
        <v>30.0</v>
      </c>
      <c r="D183" s="39">
        <f t="shared" si="1"/>
        <v>1.547696301</v>
      </c>
      <c r="E183" s="38">
        <v>12.0</v>
      </c>
      <c r="F183" s="38">
        <v>0.0</v>
      </c>
      <c r="G183" s="38">
        <v>0.0</v>
      </c>
      <c r="H183" s="38">
        <v>0.0</v>
      </c>
      <c r="I183" s="38">
        <v>0.0</v>
      </c>
      <c r="J183" s="38">
        <v>0.0</v>
      </c>
      <c r="K183" s="38">
        <v>0.0</v>
      </c>
      <c r="L183" s="38">
        <v>100.0</v>
      </c>
      <c r="M183" s="38">
        <v>0.0</v>
      </c>
      <c r="N183" s="38">
        <v>0.0</v>
      </c>
      <c r="O183" s="38">
        <v>6.0</v>
      </c>
      <c r="P183" s="38">
        <v>0.0</v>
      </c>
      <c r="Q183" s="38">
        <v>0.0</v>
      </c>
      <c r="R183" s="38">
        <v>148.0</v>
      </c>
      <c r="S183" s="26"/>
    </row>
    <row r="184" ht="15.75" customHeight="1">
      <c r="A184" s="38" t="s">
        <v>195</v>
      </c>
      <c r="B184" s="38" t="s">
        <v>221</v>
      </c>
      <c r="C184" s="38">
        <v>0.0</v>
      </c>
      <c r="D184" s="39">
        <f t="shared" si="1"/>
        <v>-0.399091499</v>
      </c>
      <c r="E184" s="38">
        <v>0.0</v>
      </c>
      <c r="F184" s="38">
        <v>0.0</v>
      </c>
      <c r="G184" s="38">
        <v>45.0</v>
      </c>
      <c r="H184" s="38">
        <v>0.0</v>
      </c>
      <c r="I184" s="38">
        <v>0.0</v>
      </c>
      <c r="J184" s="38">
        <v>0.0</v>
      </c>
      <c r="K184" s="38">
        <v>0.0</v>
      </c>
      <c r="L184" s="38">
        <v>0.0</v>
      </c>
      <c r="M184" s="38">
        <v>0.0</v>
      </c>
      <c r="N184" s="38">
        <v>0.0</v>
      </c>
      <c r="O184" s="38">
        <v>0.0</v>
      </c>
      <c r="P184" s="38">
        <v>0.0</v>
      </c>
      <c r="Q184" s="38">
        <v>0.0</v>
      </c>
      <c r="R184" s="38">
        <v>45.0</v>
      </c>
      <c r="S184" s="26"/>
    </row>
    <row r="185" ht="15.75" customHeight="1">
      <c r="A185" s="38" t="s">
        <v>196</v>
      </c>
      <c r="B185" s="38" t="s">
        <v>221</v>
      </c>
      <c r="C185" s="38">
        <v>0.0</v>
      </c>
      <c r="D185" s="39">
        <f t="shared" si="1"/>
        <v>-0.399091499</v>
      </c>
      <c r="E185" s="38">
        <v>0.0</v>
      </c>
      <c r="F185" s="38">
        <v>60.0</v>
      </c>
      <c r="G185" s="38">
        <v>0.0</v>
      </c>
      <c r="H185" s="38">
        <v>0.0</v>
      </c>
      <c r="I185" s="38">
        <v>0.0</v>
      </c>
      <c r="J185" s="38">
        <v>0.0</v>
      </c>
      <c r="K185" s="38">
        <v>250.0</v>
      </c>
      <c r="L185" s="38">
        <v>0.0</v>
      </c>
      <c r="M185" s="38">
        <v>0.0</v>
      </c>
      <c r="N185" s="38">
        <v>0.0</v>
      </c>
      <c r="O185" s="38">
        <v>0.0</v>
      </c>
      <c r="P185" s="38">
        <v>0.0</v>
      </c>
      <c r="Q185" s="38">
        <v>5.0</v>
      </c>
      <c r="R185" s="38">
        <v>315.0</v>
      </c>
      <c r="S185" s="26"/>
    </row>
    <row r="186" ht="15.75" customHeight="1">
      <c r="A186" s="38" t="s">
        <v>197</v>
      </c>
      <c r="B186" s="38" t="s">
        <v>221</v>
      </c>
      <c r="C186" s="38">
        <v>0.0</v>
      </c>
      <c r="D186" s="39">
        <f t="shared" si="1"/>
        <v>-0.399091499</v>
      </c>
      <c r="E186" s="38">
        <v>0.0</v>
      </c>
      <c r="F186" s="38">
        <v>0.0</v>
      </c>
      <c r="G186" s="38">
        <v>25.0</v>
      </c>
      <c r="H186" s="38">
        <v>0.0</v>
      </c>
      <c r="I186" s="38">
        <v>0.0</v>
      </c>
      <c r="J186" s="38">
        <v>102.0</v>
      </c>
      <c r="K186" s="38">
        <v>0.0</v>
      </c>
      <c r="L186" s="38">
        <v>0.0</v>
      </c>
      <c r="M186" s="38">
        <v>100.0</v>
      </c>
      <c r="N186" s="38">
        <v>0.0</v>
      </c>
      <c r="O186" s="38">
        <v>0.0</v>
      </c>
      <c r="P186" s="38">
        <v>0.0</v>
      </c>
      <c r="Q186" s="38">
        <v>0.0</v>
      </c>
      <c r="R186" s="38">
        <v>227.0</v>
      </c>
      <c r="S186" s="26"/>
    </row>
    <row r="187" ht="15.75" customHeight="1">
      <c r="A187" s="40"/>
      <c r="B187" s="40" t="s">
        <v>234</v>
      </c>
      <c r="C187" s="38">
        <f>skew(C3:C186)</f>
        <v>3.984435849</v>
      </c>
      <c r="D187" s="38"/>
      <c r="E187" s="38">
        <f t="shared" ref="E187:Q187" si="2">skew(E3:E186)</f>
        <v>3.899984514</v>
      </c>
      <c r="F187" s="38">
        <f t="shared" si="2"/>
        <v>3.882557119</v>
      </c>
      <c r="G187" s="38">
        <f t="shared" si="2"/>
        <v>4.572289361</v>
      </c>
      <c r="H187" s="38">
        <f t="shared" si="2"/>
        <v>4.831635426</v>
      </c>
      <c r="I187" s="38">
        <f t="shared" si="2"/>
        <v>2.205483935</v>
      </c>
      <c r="J187" s="38">
        <f t="shared" si="2"/>
        <v>3.809574887</v>
      </c>
      <c r="K187" s="38">
        <f t="shared" si="2"/>
        <v>2.339172952</v>
      </c>
      <c r="L187" s="38">
        <f t="shared" si="2"/>
        <v>2.614866115</v>
      </c>
      <c r="M187" s="38">
        <f t="shared" si="2"/>
        <v>1.907267657</v>
      </c>
      <c r="N187" s="38">
        <f t="shared" si="2"/>
        <v>2.241844022</v>
      </c>
      <c r="O187" s="38">
        <f t="shared" si="2"/>
        <v>2.227949627</v>
      </c>
      <c r="P187" s="38">
        <f t="shared" si="2"/>
        <v>4.199118419</v>
      </c>
      <c r="Q187" s="38">
        <f t="shared" si="2"/>
        <v>4.68853315</v>
      </c>
      <c r="R187" s="38">
        <f>SUM(R3:R186)</f>
        <v>40861</v>
      </c>
      <c r="S187" s="26"/>
    </row>
    <row r="188" ht="15.75" customHeight="1">
      <c r="B188" s="4" t="s">
        <v>235</v>
      </c>
      <c r="C188" s="4">
        <f>AVERAGE(C3:C186)</f>
        <v>6.14673913</v>
      </c>
      <c r="D188" s="4"/>
      <c r="E188" s="4">
        <f t="shared" ref="E188:Q188" si="3">AVERAGE(E3:E186)</f>
        <v>5.820652174</v>
      </c>
      <c r="F188" s="4">
        <f t="shared" si="3"/>
        <v>6.206521739</v>
      </c>
      <c r="G188" s="4">
        <f t="shared" si="3"/>
        <v>1.836956522</v>
      </c>
      <c r="H188" s="4">
        <f t="shared" si="3"/>
        <v>3</v>
      </c>
      <c r="I188" s="4">
        <f t="shared" si="3"/>
        <v>35.16304348</v>
      </c>
      <c r="J188" s="4">
        <f t="shared" si="3"/>
        <v>42.39673913</v>
      </c>
      <c r="K188" s="4">
        <f t="shared" si="3"/>
        <v>28.47826087</v>
      </c>
      <c r="L188" s="4">
        <f t="shared" si="3"/>
        <v>36.02717391</v>
      </c>
      <c r="M188" s="4">
        <f t="shared" si="3"/>
        <v>49.54891304</v>
      </c>
      <c r="N188" s="4">
        <f t="shared" si="3"/>
        <v>3.391304348</v>
      </c>
      <c r="O188" s="4">
        <f t="shared" si="3"/>
        <v>3.065217391</v>
      </c>
      <c r="P188" s="4">
        <f t="shared" si="3"/>
        <v>0.7336956522</v>
      </c>
      <c r="Q188" s="4">
        <f t="shared" si="3"/>
        <v>0.2554347826</v>
      </c>
    </row>
    <row r="189" ht="15.75" customHeight="1">
      <c r="B189" s="4" t="s">
        <v>236</v>
      </c>
      <c r="C189" s="4">
        <f>PERCENTILE(C3:C186, 0.95)</f>
        <v>38.5</v>
      </c>
      <c r="D189" s="4"/>
      <c r="E189" s="4">
        <f t="shared" ref="E189:Q189" si="4">PERCENTILE(E3:E186, 0.95)</f>
        <v>30</v>
      </c>
      <c r="F189" s="4">
        <f t="shared" si="4"/>
        <v>30</v>
      </c>
      <c r="G189" s="4">
        <f t="shared" si="4"/>
        <v>18.8</v>
      </c>
      <c r="H189" s="4">
        <f t="shared" si="4"/>
        <v>39.1</v>
      </c>
      <c r="I189" s="4">
        <f t="shared" si="4"/>
        <v>143</v>
      </c>
      <c r="J189" s="4">
        <f t="shared" si="4"/>
        <v>153</v>
      </c>
      <c r="K189" s="4">
        <f t="shared" si="4"/>
        <v>158.5</v>
      </c>
      <c r="L189" s="4">
        <f t="shared" si="4"/>
        <v>200</v>
      </c>
      <c r="M189" s="4">
        <f t="shared" si="4"/>
        <v>217</v>
      </c>
      <c r="N189" s="4">
        <f t="shared" si="4"/>
        <v>20</v>
      </c>
      <c r="O189" s="4">
        <f t="shared" si="4"/>
        <v>10</v>
      </c>
      <c r="P189" s="4">
        <f t="shared" si="4"/>
        <v>5</v>
      </c>
      <c r="Q189" s="4">
        <f t="shared" si="4"/>
        <v>2</v>
      </c>
    </row>
    <row r="190" ht="15.75" customHeight="1">
      <c r="B190" s="4" t="s">
        <v>237</v>
      </c>
      <c r="C190" s="4">
        <f>PERCENTILE(C3:C186,0.9)</f>
        <v>15.7</v>
      </c>
      <c r="D190" s="4"/>
      <c r="E190" s="4">
        <f t="shared" ref="E190:F190" si="5">PERCENTILE(E3:E186,0.9)</f>
        <v>17.1</v>
      </c>
      <c r="F190" s="4">
        <f t="shared" si="5"/>
        <v>17.1</v>
      </c>
      <c r="G190" s="4">
        <f>IFERROR(__xludf.DUMMYFUNCTION("PERCENTILE(filter(G3:G186,G3:G186&gt;0),0.9)"),32.999999999999986)</f>
        <v>33</v>
      </c>
      <c r="H190" s="4">
        <f>IFERROR(__xludf.DUMMYFUNCTION("PERCENTILE(FILTER(H3:H186, H3:H186&gt;0), 0.9)"),92.0)</f>
        <v>92</v>
      </c>
      <c r="I190" s="4">
        <f t="shared" ref="I190:O190" si="6">PERCENTILE(I3:I186,0.9)</f>
        <v>142</v>
      </c>
      <c r="J190" s="4">
        <f t="shared" si="6"/>
        <v>102</v>
      </c>
      <c r="K190" s="4">
        <f t="shared" si="6"/>
        <v>127</v>
      </c>
      <c r="L190" s="4">
        <f t="shared" si="6"/>
        <v>150</v>
      </c>
      <c r="M190" s="4">
        <f t="shared" si="6"/>
        <v>200</v>
      </c>
      <c r="N190" s="4">
        <f t="shared" si="6"/>
        <v>10</v>
      </c>
      <c r="O190" s="4">
        <f t="shared" si="6"/>
        <v>10</v>
      </c>
      <c r="P190" s="4">
        <f>IFERROR(__xludf.DUMMYFUNCTION("PERCENTILE(filter(P3:P186,P3:P186&gt;0),0.9)"),10.0)</f>
        <v>10</v>
      </c>
      <c r="Q190" s="4">
        <f>IFERROR(__xludf.DUMMYFUNCTION("PERCENTILE(filter(Q3:Q186,Q3:Q186&gt;0),0.9)"),5.0)</f>
        <v>5</v>
      </c>
    </row>
    <row r="191" ht="15.75" customHeight="1">
      <c r="B191" s="4" t="s">
        <v>238</v>
      </c>
      <c r="C191" s="4">
        <f>C190-C188</f>
        <v>9.55326087</v>
      </c>
      <c r="D191" s="4"/>
      <c r="E191" s="4">
        <f t="shared" ref="E191:Q191" si="7">E190-E188</f>
        <v>11.27934783</v>
      </c>
      <c r="F191" s="4">
        <f t="shared" si="7"/>
        <v>10.89347826</v>
      </c>
      <c r="G191" s="4">
        <f t="shared" si="7"/>
        <v>31.16304348</v>
      </c>
      <c r="H191" s="4">
        <f t="shared" si="7"/>
        <v>89</v>
      </c>
      <c r="I191" s="4">
        <f t="shared" si="7"/>
        <v>106.8369565</v>
      </c>
      <c r="J191" s="4">
        <f t="shared" si="7"/>
        <v>59.60326087</v>
      </c>
      <c r="K191" s="4">
        <f t="shared" si="7"/>
        <v>98.52173913</v>
      </c>
      <c r="L191" s="4">
        <f t="shared" si="7"/>
        <v>113.9728261</v>
      </c>
      <c r="M191" s="4">
        <f t="shared" si="7"/>
        <v>150.451087</v>
      </c>
      <c r="N191" s="4">
        <f t="shared" si="7"/>
        <v>6.608695652</v>
      </c>
      <c r="O191" s="4">
        <f t="shared" si="7"/>
        <v>6.934782609</v>
      </c>
      <c r="P191" s="4">
        <f t="shared" si="7"/>
        <v>9.266304348</v>
      </c>
      <c r="Q191" s="4">
        <f t="shared" si="7"/>
        <v>4.744565217</v>
      </c>
    </row>
    <row r="192" ht="15.75" customHeight="1">
      <c r="B192" s="4" t="s">
        <v>239</v>
      </c>
      <c r="C192" s="4">
        <f>C189-C188</f>
        <v>32.35326087</v>
      </c>
      <c r="D192" s="4"/>
      <c r="E192" s="4">
        <f t="shared" ref="E192:Q192" si="8">E189-E188</f>
        <v>24.17934783</v>
      </c>
      <c r="F192" s="4">
        <f t="shared" si="8"/>
        <v>23.79347826</v>
      </c>
      <c r="G192" s="4">
        <f t="shared" si="8"/>
        <v>16.96304348</v>
      </c>
      <c r="H192" s="4">
        <f t="shared" si="8"/>
        <v>36.1</v>
      </c>
      <c r="I192" s="4">
        <f t="shared" si="8"/>
        <v>107.8369565</v>
      </c>
      <c r="J192" s="4">
        <f t="shared" si="8"/>
        <v>110.6032609</v>
      </c>
      <c r="K192" s="4">
        <f t="shared" si="8"/>
        <v>130.0217391</v>
      </c>
      <c r="L192" s="4">
        <f t="shared" si="8"/>
        <v>163.9728261</v>
      </c>
      <c r="M192" s="4">
        <f t="shared" si="8"/>
        <v>167.451087</v>
      </c>
      <c r="N192" s="4">
        <f t="shared" si="8"/>
        <v>16.60869565</v>
      </c>
      <c r="O192" s="4">
        <f t="shared" si="8"/>
        <v>6.934782609</v>
      </c>
      <c r="P192" s="4">
        <f t="shared" si="8"/>
        <v>4.266304348</v>
      </c>
      <c r="Q192" s="4">
        <f t="shared" si="8"/>
        <v>1.744565217</v>
      </c>
    </row>
    <row r="193" ht="15.75" customHeight="1">
      <c r="B193" s="4" t="s">
        <v>240</v>
      </c>
      <c r="C193" s="4">
        <f>C188*5</f>
        <v>30.73369565</v>
      </c>
      <c r="D193" s="4"/>
      <c r="E193" s="4">
        <f t="shared" ref="E193:Q193" si="9">E188*5</f>
        <v>29.10326087</v>
      </c>
      <c r="F193" s="4">
        <f t="shared" si="9"/>
        <v>31.0326087</v>
      </c>
      <c r="G193" s="4">
        <f t="shared" si="9"/>
        <v>9.184782609</v>
      </c>
      <c r="H193" s="4">
        <f t="shared" si="9"/>
        <v>15</v>
      </c>
      <c r="I193" s="4">
        <f t="shared" si="9"/>
        <v>175.8152174</v>
      </c>
      <c r="J193" s="4">
        <f t="shared" si="9"/>
        <v>211.9836957</v>
      </c>
      <c r="K193" s="4">
        <f t="shared" si="9"/>
        <v>142.3913043</v>
      </c>
      <c r="L193" s="4">
        <f t="shared" si="9"/>
        <v>180.1358696</v>
      </c>
      <c r="M193" s="4">
        <f t="shared" si="9"/>
        <v>247.7445652</v>
      </c>
      <c r="N193" s="4">
        <f t="shared" si="9"/>
        <v>16.95652174</v>
      </c>
      <c r="O193" s="4">
        <f t="shared" si="9"/>
        <v>15.32608696</v>
      </c>
      <c r="P193" s="4">
        <f t="shared" si="9"/>
        <v>3.668478261</v>
      </c>
      <c r="Q193" s="4">
        <f t="shared" si="9"/>
        <v>1.277173913</v>
      </c>
    </row>
    <row r="194" ht="15.75" customHeight="1">
      <c r="B194" s="4" t="s">
        <v>241</v>
      </c>
      <c r="C194" s="4">
        <f>C191+C193</f>
        <v>40.28695652</v>
      </c>
      <c r="D194" s="4"/>
      <c r="E194" s="4">
        <f t="shared" ref="E194:Q194" si="10">E191+E193</f>
        <v>40.3826087</v>
      </c>
      <c r="F194" s="4">
        <f t="shared" si="10"/>
        <v>41.92608696</v>
      </c>
      <c r="G194" s="4">
        <f t="shared" si="10"/>
        <v>40.34782609</v>
      </c>
      <c r="H194" s="4">
        <f t="shared" si="10"/>
        <v>104</v>
      </c>
      <c r="I194" s="4">
        <f t="shared" si="10"/>
        <v>282.6521739</v>
      </c>
      <c r="J194" s="4">
        <f t="shared" si="10"/>
        <v>271.5869565</v>
      </c>
      <c r="K194" s="4">
        <f t="shared" si="10"/>
        <v>240.9130435</v>
      </c>
      <c r="L194" s="4">
        <f t="shared" si="10"/>
        <v>294.1086957</v>
      </c>
      <c r="M194" s="4">
        <f t="shared" si="10"/>
        <v>398.1956522</v>
      </c>
      <c r="N194" s="4">
        <f t="shared" si="10"/>
        <v>23.56521739</v>
      </c>
      <c r="O194" s="4">
        <f t="shared" si="10"/>
        <v>22.26086957</v>
      </c>
      <c r="P194" s="4">
        <f t="shared" si="10"/>
        <v>12.93478261</v>
      </c>
      <c r="Q194" s="4">
        <f t="shared" si="10"/>
        <v>6.02173913</v>
      </c>
    </row>
    <row r="195" ht="15.75" customHeight="1">
      <c r="B195" s="4" t="s">
        <v>242</v>
      </c>
      <c r="C195" s="4">
        <f>C192+C193</f>
        <v>63.08695652</v>
      </c>
      <c r="D195" s="4"/>
      <c r="E195" s="4">
        <f t="shared" ref="E195:Q195" si="11">E192+E193</f>
        <v>53.2826087</v>
      </c>
      <c r="F195" s="4">
        <f t="shared" si="11"/>
        <v>54.82608696</v>
      </c>
      <c r="G195" s="4">
        <f t="shared" si="11"/>
        <v>26.14782609</v>
      </c>
      <c r="H195" s="4">
        <f t="shared" si="11"/>
        <v>51.1</v>
      </c>
      <c r="I195" s="4">
        <f t="shared" si="11"/>
        <v>283.6521739</v>
      </c>
      <c r="J195" s="4">
        <f t="shared" si="11"/>
        <v>322.5869565</v>
      </c>
      <c r="K195" s="4">
        <f t="shared" si="11"/>
        <v>272.4130435</v>
      </c>
      <c r="L195" s="4">
        <f t="shared" si="11"/>
        <v>344.1086957</v>
      </c>
      <c r="M195" s="4">
        <f t="shared" si="11"/>
        <v>415.1956522</v>
      </c>
      <c r="N195" s="4">
        <f t="shared" si="11"/>
        <v>33.56521739</v>
      </c>
      <c r="O195" s="4">
        <f t="shared" si="11"/>
        <v>22.26086957</v>
      </c>
      <c r="P195" s="4">
        <f t="shared" si="11"/>
        <v>7.934782609</v>
      </c>
      <c r="Q195" s="4">
        <f t="shared" si="11"/>
        <v>3.02173913</v>
      </c>
    </row>
    <row r="196" ht="15.75" customHeight="1"/>
    <row r="197" ht="15.75" customHeight="1"/>
    <row r="198" ht="15.75" customHeight="1"/>
    <row r="199" ht="15.75" customHeight="1"/>
    <row r="200" ht="15.75" customHeight="1">
      <c r="B200" s="41" t="s">
        <v>243</v>
      </c>
      <c r="C200" s="42">
        <f>C190 - C188</f>
        <v>9.55326087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>
      <c r="B261" s="4" t="s">
        <v>244</v>
      </c>
      <c r="C261" s="4">
        <f>STDEV(C74:C256)</f>
        <v>17.43927252</v>
      </c>
      <c r="D261" s="4"/>
      <c r="E261" s="4">
        <f t="shared" ref="E261:Q261" si="12">STDEV(E74:E256)</f>
        <v>18.90236149</v>
      </c>
      <c r="F261" s="4">
        <f t="shared" si="12"/>
        <v>19.11486251</v>
      </c>
      <c r="G261" s="4">
        <f t="shared" si="12"/>
        <v>8.877453887</v>
      </c>
      <c r="H261" s="4">
        <f t="shared" si="12"/>
        <v>21.50774041</v>
      </c>
      <c r="I261" s="4">
        <f t="shared" si="12"/>
        <v>66.79732905</v>
      </c>
      <c r="J261" s="4">
        <f t="shared" si="12"/>
        <v>78.59155267</v>
      </c>
      <c r="K261" s="4">
        <f t="shared" si="12"/>
        <v>68.45998923</v>
      </c>
      <c r="L261" s="4">
        <f t="shared" si="12"/>
        <v>91.61653491</v>
      </c>
      <c r="M261" s="4">
        <f t="shared" si="12"/>
        <v>95.86939976</v>
      </c>
      <c r="N261" s="4">
        <f t="shared" si="12"/>
        <v>8.045394526</v>
      </c>
      <c r="O261" s="4">
        <f t="shared" si="12"/>
        <v>6.091118302</v>
      </c>
      <c r="P261" s="4">
        <f t="shared" si="12"/>
        <v>2.667981884</v>
      </c>
      <c r="Q261" s="4">
        <f t="shared" si="12"/>
        <v>1.458400965</v>
      </c>
    </row>
    <row r="262" ht="15.75" customHeight="1">
      <c r="B262" s="4" t="s">
        <v>245</v>
      </c>
      <c r="C262" s="4">
        <f>min(C60:C243)</f>
        <v>0</v>
      </c>
      <c r="D262" s="4"/>
      <c r="E262" s="4">
        <f t="shared" ref="E262:G262" si="13">min(E60:E243)</f>
        <v>0</v>
      </c>
      <c r="F262" s="4">
        <f t="shared" si="13"/>
        <v>0</v>
      </c>
      <c r="G262" s="4">
        <f t="shared" si="13"/>
        <v>0</v>
      </c>
    </row>
    <row r="263" ht="15.75" customHeight="1">
      <c r="B263" s="4" t="s">
        <v>246</v>
      </c>
      <c r="C263" s="4">
        <f>percentile(C60:C243,0.25)</f>
        <v>0</v>
      </c>
      <c r="D263" s="4"/>
      <c r="E263" s="4">
        <f t="shared" ref="E263:G263" si="14">percentile(E60:E243,0.25)</f>
        <v>0</v>
      </c>
      <c r="F263" s="4">
        <f t="shared" si="14"/>
        <v>0</v>
      </c>
      <c r="G263" s="4">
        <f t="shared" si="14"/>
        <v>0</v>
      </c>
    </row>
    <row r="264" ht="15.75" customHeight="1">
      <c r="B264" s="4" t="s">
        <v>247</v>
      </c>
      <c r="C264" s="4">
        <f>median(C60:C243)</f>
        <v>0</v>
      </c>
      <c r="D264" s="4"/>
      <c r="E264" s="4">
        <f t="shared" ref="E264:G264" si="15">median(E60:E243)</f>
        <v>0</v>
      </c>
      <c r="F264" s="4">
        <f t="shared" si="15"/>
        <v>0</v>
      </c>
      <c r="G264" s="4">
        <f t="shared" si="15"/>
        <v>0</v>
      </c>
    </row>
    <row r="265" ht="15.75" customHeight="1">
      <c r="B265" s="4" t="s">
        <v>248</v>
      </c>
      <c r="C265" s="4">
        <f>PERCENTILE(C60:C243,0.75)</f>
        <v>6.14673913</v>
      </c>
      <c r="D265" s="4"/>
      <c r="E265" s="4">
        <f t="shared" ref="E265:G265" si="16">PERCENTILE(E60:E243,0.75)</f>
        <v>6.36548913</v>
      </c>
      <c r="F265" s="4">
        <f t="shared" si="16"/>
        <v>5.25</v>
      </c>
      <c r="G265" s="4">
        <f t="shared" si="16"/>
        <v>0</v>
      </c>
    </row>
    <row r="266" ht="15.75" customHeight="1">
      <c r="B266" s="4" t="s">
        <v>249</v>
      </c>
      <c r="C266" s="4">
        <f>max(C60:C243)</f>
        <v>100</v>
      </c>
      <c r="D266" s="4"/>
      <c r="E266" s="4">
        <f t="shared" ref="E266:G266" si="17">max(E60:E243)</f>
        <v>100</v>
      </c>
      <c r="F266" s="4">
        <f t="shared" si="17"/>
        <v>100</v>
      </c>
      <c r="G266" s="4">
        <f t="shared" si="17"/>
        <v>50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G1"/>
    <mergeCell ref="H1:J1"/>
    <mergeCell ref="K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3" width="8.63"/>
    <col customWidth="1" min="4" max="4" width="8.38"/>
    <col customWidth="1" min="5" max="5" width="9.25"/>
    <col customWidth="1" min="6" max="6" width="9.0"/>
    <col customWidth="1" min="7" max="7" width="8.63"/>
    <col customWidth="1" min="8" max="8" width="8.5"/>
    <col customWidth="1" min="9" max="9" width="8.88"/>
    <col customWidth="1" min="10" max="10" width="8.5"/>
    <col customWidth="1" min="11" max="11" width="9.13"/>
    <col customWidth="1" min="12" max="12" width="8.88"/>
    <col customWidth="1" min="13" max="13" width="9.25"/>
    <col customWidth="1" min="14" max="14" width="10.0"/>
    <col customWidth="1" min="15" max="17" width="9.13"/>
    <col customWidth="1" min="18" max="18" width="10.0"/>
    <col customWidth="1" min="19" max="19" width="9.75"/>
    <col customWidth="1" min="20" max="20" width="9.25"/>
  </cols>
  <sheetData>
    <row r="1">
      <c r="A1" s="4"/>
      <c r="B1" s="43"/>
      <c r="C1" s="43" t="s">
        <v>198</v>
      </c>
      <c r="K1" s="44" t="s">
        <v>250</v>
      </c>
      <c r="Q1" s="45" t="s">
        <v>251</v>
      </c>
      <c r="W1" s="46" t="s">
        <v>252</v>
      </c>
      <c r="Y1" s="47" t="s">
        <v>202</v>
      </c>
      <c r="AA1" s="48" t="s">
        <v>203</v>
      </c>
      <c r="AC1" s="49" t="s">
        <v>253</v>
      </c>
    </row>
    <row r="2">
      <c r="A2" s="4"/>
      <c r="B2" s="50"/>
      <c r="C2" s="51" t="s">
        <v>14</v>
      </c>
      <c r="D2" s="18"/>
      <c r="E2" s="51" t="s">
        <v>15</v>
      </c>
      <c r="F2" s="18"/>
      <c r="G2" s="51" t="s">
        <v>11</v>
      </c>
      <c r="H2" s="18"/>
      <c r="I2" s="51" t="s">
        <v>40</v>
      </c>
      <c r="J2" s="18"/>
      <c r="K2" s="52" t="s">
        <v>254</v>
      </c>
      <c r="L2" s="18"/>
      <c r="M2" s="52" t="s">
        <v>255</v>
      </c>
      <c r="N2" s="18"/>
      <c r="O2" s="52" t="s">
        <v>256</v>
      </c>
      <c r="P2" s="18"/>
      <c r="Q2" s="53" t="s">
        <v>257</v>
      </c>
      <c r="R2" s="18"/>
      <c r="S2" s="53" t="s">
        <v>258</v>
      </c>
      <c r="T2" s="18"/>
      <c r="U2" s="53" t="s">
        <v>259</v>
      </c>
      <c r="V2" s="18"/>
      <c r="W2" s="54" t="s">
        <v>260</v>
      </c>
      <c r="X2" s="18"/>
      <c r="Y2" s="55" t="s">
        <v>261</v>
      </c>
      <c r="Z2" s="18"/>
      <c r="AA2" s="56" t="s">
        <v>262</v>
      </c>
      <c r="AB2" s="18"/>
      <c r="AC2" s="57" t="s">
        <v>263</v>
      </c>
      <c r="AD2" s="18"/>
    </row>
    <row r="3">
      <c r="A3" s="58" t="s">
        <v>264</v>
      </c>
      <c r="B3" s="58" t="s">
        <v>264</v>
      </c>
      <c r="C3" s="59" t="s">
        <v>265</v>
      </c>
      <c r="D3" s="59" t="s">
        <v>266</v>
      </c>
      <c r="E3" s="59" t="s">
        <v>265</v>
      </c>
      <c r="F3" s="59" t="s">
        <v>266</v>
      </c>
      <c r="G3" s="59" t="s">
        <v>265</v>
      </c>
      <c r="H3" s="59" t="s">
        <v>266</v>
      </c>
      <c r="I3" s="59" t="s">
        <v>265</v>
      </c>
      <c r="J3" s="59" t="s">
        <v>266</v>
      </c>
      <c r="K3" s="59" t="s">
        <v>265</v>
      </c>
      <c r="L3" s="59" t="s">
        <v>266</v>
      </c>
      <c r="M3" s="59" t="s">
        <v>265</v>
      </c>
      <c r="N3" s="59" t="s">
        <v>266</v>
      </c>
      <c r="O3" s="59" t="s">
        <v>265</v>
      </c>
      <c r="P3" s="59" t="s">
        <v>266</v>
      </c>
      <c r="Q3" s="59" t="s">
        <v>265</v>
      </c>
      <c r="R3" s="59" t="s">
        <v>266</v>
      </c>
      <c r="S3" s="59" t="s">
        <v>265</v>
      </c>
      <c r="T3" s="59" t="s">
        <v>266</v>
      </c>
      <c r="U3" s="59" t="s">
        <v>265</v>
      </c>
      <c r="V3" s="59" t="s">
        <v>266</v>
      </c>
      <c r="W3" s="59" t="s">
        <v>265</v>
      </c>
      <c r="X3" s="59" t="s">
        <v>266</v>
      </c>
      <c r="Y3" s="59" t="s">
        <v>265</v>
      </c>
      <c r="Z3" s="59" t="s">
        <v>266</v>
      </c>
      <c r="AA3" s="59" t="s">
        <v>265</v>
      </c>
      <c r="AB3" s="59" t="s">
        <v>266</v>
      </c>
      <c r="AC3" s="59" t="s">
        <v>265</v>
      </c>
      <c r="AD3" s="59" t="s">
        <v>266</v>
      </c>
    </row>
    <row r="4">
      <c r="A4" s="4" t="s">
        <v>267</v>
      </c>
      <c r="B4" s="4" t="s">
        <v>268</v>
      </c>
      <c r="C4" s="4">
        <v>215.0</v>
      </c>
      <c r="D4" s="4">
        <v>155.0</v>
      </c>
      <c r="E4" s="4">
        <v>80.0</v>
      </c>
      <c r="F4" s="4">
        <v>55.0</v>
      </c>
      <c r="G4" s="4">
        <v>150.0</v>
      </c>
      <c r="H4" s="4">
        <v>55.0</v>
      </c>
      <c r="I4" s="4">
        <v>85.0</v>
      </c>
      <c r="J4" s="4">
        <v>85.0</v>
      </c>
      <c r="K4" s="4">
        <v>230.0</v>
      </c>
      <c r="L4" s="4">
        <v>230.0</v>
      </c>
      <c r="M4" s="4">
        <v>426.0</v>
      </c>
      <c r="N4" s="4">
        <v>213.0</v>
      </c>
      <c r="O4" s="4">
        <v>408.0</v>
      </c>
      <c r="P4" s="4">
        <v>255.0</v>
      </c>
      <c r="Q4" s="4">
        <v>600.0</v>
      </c>
      <c r="R4" s="4">
        <v>50.0</v>
      </c>
      <c r="S4" s="4">
        <v>400.0</v>
      </c>
      <c r="T4" s="4">
        <v>275.0</v>
      </c>
      <c r="U4" s="4">
        <v>600.0</v>
      </c>
      <c r="V4" s="4">
        <v>220.0</v>
      </c>
      <c r="W4" s="4">
        <v>70.0</v>
      </c>
      <c r="X4" s="4">
        <v>58.0</v>
      </c>
      <c r="Y4" s="4">
        <v>20.0</v>
      </c>
      <c r="Z4" s="4">
        <v>3.0</v>
      </c>
      <c r="AA4" s="4">
        <v>40.0</v>
      </c>
      <c r="AB4" s="4">
        <v>25.0</v>
      </c>
      <c r="AC4" s="4">
        <v>8.0</v>
      </c>
      <c r="AD4" s="4">
        <v>8.0</v>
      </c>
    </row>
    <row r="5">
      <c r="A5" s="4" t="s">
        <v>269</v>
      </c>
      <c r="B5" s="4" t="s">
        <v>270</v>
      </c>
      <c r="C5" s="4">
        <v>155.0</v>
      </c>
      <c r="D5" s="4">
        <v>55.0</v>
      </c>
      <c r="E5" s="4">
        <v>55.0</v>
      </c>
      <c r="F5" s="4">
        <v>12.0</v>
      </c>
      <c r="G5" s="4">
        <v>255.0</v>
      </c>
      <c r="H5" s="4">
        <v>253.0</v>
      </c>
      <c r="I5" s="4">
        <v>85.0</v>
      </c>
      <c r="J5" s="4">
        <v>81.0</v>
      </c>
      <c r="K5" s="4">
        <v>230.0</v>
      </c>
      <c r="L5" s="4">
        <v>230.0</v>
      </c>
      <c r="M5" s="4">
        <v>213.0</v>
      </c>
      <c r="N5" s="60">
        <v>0.0</v>
      </c>
      <c r="O5" s="4">
        <v>510.0</v>
      </c>
      <c r="P5" s="4">
        <v>357.0</v>
      </c>
      <c r="Q5" s="4">
        <v>550.0</v>
      </c>
      <c r="R5" s="4">
        <v>260.0</v>
      </c>
      <c r="S5" s="4">
        <v>275.0</v>
      </c>
      <c r="T5" s="4">
        <v>250.0</v>
      </c>
      <c r="U5" s="4">
        <v>770.0</v>
      </c>
      <c r="V5" s="4">
        <v>315.0</v>
      </c>
      <c r="W5" s="4">
        <v>58.0</v>
      </c>
      <c r="X5" s="4">
        <v>34.0</v>
      </c>
      <c r="Y5" s="4">
        <v>53.0</v>
      </c>
      <c r="Z5" s="4">
        <v>36.0</v>
      </c>
      <c r="AA5" s="4">
        <v>25.0</v>
      </c>
      <c r="AB5" s="4">
        <v>25.0</v>
      </c>
      <c r="AC5" s="4">
        <v>8.0</v>
      </c>
      <c r="AD5" s="4">
        <v>6.0</v>
      </c>
    </row>
    <row r="6">
      <c r="A6" s="4" t="s">
        <v>271</v>
      </c>
      <c r="B6" s="4" t="s">
        <v>272</v>
      </c>
      <c r="C6" s="4">
        <v>255.0</v>
      </c>
      <c r="D6" s="4">
        <v>240.0</v>
      </c>
      <c r="E6" s="4">
        <v>112.0</v>
      </c>
      <c r="F6" s="4">
        <v>111.0</v>
      </c>
      <c r="G6" s="4">
        <v>253.0</v>
      </c>
      <c r="H6" s="4">
        <v>240.0</v>
      </c>
      <c r="I6" s="4">
        <v>81.0</v>
      </c>
      <c r="J6" s="4">
        <v>51.0</v>
      </c>
      <c r="K6" s="4">
        <v>230.0</v>
      </c>
      <c r="L6" s="4">
        <v>230.0</v>
      </c>
      <c r="M6" s="4">
        <v>355.0</v>
      </c>
      <c r="N6" s="60">
        <v>-142.0</v>
      </c>
      <c r="O6" s="4">
        <v>357.0</v>
      </c>
      <c r="P6" s="4">
        <v>102.0</v>
      </c>
      <c r="Q6" s="4">
        <v>260.0</v>
      </c>
      <c r="R6" s="4">
        <v>185.0</v>
      </c>
      <c r="S6" s="4">
        <v>250.0</v>
      </c>
      <c r="T6" s="4">
        <v>180.0</v>
      </c>
      <c r="U6" s="4">
        <v>315.0</v>
      </c>
      <c r="V6" s="4">
        <v>30.0</v>
      </c>
      <c r="W6" s="4">
        <v>34.0</v>
      </c>
      <c r="X6" s="4">
        <v>34.0</v>
      </c>
      <c r="Y6" s="4">
        <v>36.0</v>
      </c>
      <c r="Z6" s="4">
        <v>27.0</v>
      </c>
      <c r="AA6" s="4">
        <v>25.0</v>
      </c>
      <c r="AB6" s="4">
        <v>15.0</v>
      </c>
      <c r="AC6" s="4">
        <v>6.0</v>
      </c>
      <c r="AD6" s="4">
        <v>6.0</v>
      </c>
    </row>
    <row r="7">
      <c r="A7" s="4" t="s">
        <v>273</v>
      </c>
      <c r="B7" s="4" t="s">
        <v>274</v>
      </c>
      <c r="C7" s="4">
        <v>240.0</v>
      </c>
      <c r="D7" s="4">
        <v>234.0</v>
      </c>
      <c r="E7" s="4">
        <v>111.0</v>
      </c>
      <c r="F7" s="4">
        <v>86.0</v>
      </c>
      <c r="G7" s="4">
        <v>240.0</v>
      </c>
      <c r="H7" s="4">
        <v>240.0</v>
      </c>
      <c r="I7" s="4">
        <v>51.0</v>
      </c>
      <c r="J7" s="4">
        <v>51.0</v>
      </c>
      <c r="K7" s="4">
        <v>230.0</v>
      </c>
      <c r="L7" s="4">
        <v>230.0</v>
      </c>
      <c r="M7" s="4">
        <v>355.0</v>
      </c>
      <c r="N7" s="4">
        <v>71.0</v>
      </c>
      <c r="O7" s="4">
        <v>306.0</v>
      </c>
      <c r="P7" s="4">
        <f>306-102</f>
        <v>204</v>
      </c>
      <c r="Q7" s="4">
        <v>485.0</v>
      </c>
      <c r="R7" s="4">
        <v>90.0</v>
      </c>
      <c r="S7" s="4">
        <v>380.0</v>
      </c>
      <c r="T7" s="4">
        <v>130.0</v>
      </c>
      <c r="U7" s="4">
        <v>530.0</v>
      </c>
      <c r="V7" s="4">
        <v>515.0</v>
      </c>
      <c r="W7" s="4">
        <v>34.0</v>
      </c>
      <c r="X7" s="4">
        <v>34.0</v>
      </c>
      <c r="Y7" s="4">
        <v>27.0</v>
      </c>
      <c r="Z7" s="4">
        <v>23.0</v>
      </c>
      <c r="AA7" s="4">
        <v>15.0</v>
      </c>
      <c r="AB7" s="4">
        <v>10.0</v>
      </c>
      <c r="AC7" s="4">
        <v>6.0</v>
      </c>
      <c r="AD7" s="4">
        <v>3.0</v>
      </c>
    </row>
    <row r="8">
      <c r="A8" s="4" t="s">
        <v>275</v>
      </c>
      <c r="B8" s="4" t="s">
        <v>276</v>
      </c>
      <c r="C8" s="4">
        <v>234.0</v>
      </c>
      <c r="D8" s="4">
        <f>234-22</f>
        <v>212</v>
      </c>
      <c r="E8" s="4">
        <v>86.0</v>
      </c>
      <c r="F8" s="4">
        <v>73.0</v>
      </c>
      <c r="G8" s="4">
        <v>240.0</v>
      </c>
      <c r="H8" s="4">
        <v>237.0</v>
      </c>
      <c r="I8" s="4">
        <v>151.0</v>
      </c>
      <c r="J8" s="4">
        <v>151.0</v>
      </c>
      <c r="K8" s="4">
        <v>230.0</v>
      </c>
      <c r="L8" s="4">
        <v>230.0</v>
      </c>
      <c r="M8" s="4">
        <v>426.0</v>
      </c>
      <c r="N8" s="4">
        <v>142.0</v>
      </c>
      <c r="O8" s="4">
        <v>306.0</v>
      </c>
      <c r="P8" s="60">
        <v>0.0</v>
      </c>
      <c r="Q8" s="4">
        <v>390.0</v>
      </c>
      <c r="R8" s="4">
        <v>390.0</v>
      </c>
      <c r="S8" s="4">
        <v>430.0</v>
      </c>
      <c r="T8" s="4">
        <f>430-220</f>
        <v>210</v>
      </c>
      <c r="U8" s="4">
        <v>515.0</v>
      </c>
      <c r="V8" s="4">
        <f>515-150</f>
        <v>365</v>
      </c>
      <c r="W8" s="4">
        <v>34.0</v>
      </c>
      <c r="X8" s="4">
        <f>34-16</f>
        <v>18</v>
      </c>
      <c r="Y8" s="4">
        <v>27.0</v>
      </c>
      <c r="Z8" s="4">
        <v>4.0</v>
      </c>
      <c r="AA8" s="4">
        <v>10.0</v>
      </c>
      <c r="AB8" s="4">
        <v>10.0</v>
      </c>
      <c r="AC8" s="4">
        <v>6.0</v>
      </c>
      <c r="AD8" s="4">
        <v>2.0</v>
      </c>
    </row>
    <row r="9">
      <c r="A9" s="4" t="s">
        <v>277</v>
      </c>
      <c r="B9" s="4" t="s">
        <v>278</v>
      </c>
      <c r="C9" s="4">
        <v>212.0</v>
      </c>
      <c r="D9" s="4">
        <v>204.0</v>
      </c>
      <c r="E9" s="4">
        <v>173.0</v>
      </c>
      <c r="F9" s="4">
        <v>98.0</v>
      </c>
      <c r="G9" s="4">
        <v>237.0</v>
      </c>
      <c r="H9" s="4">
        <v>220.0</v>
      </c>
      <c r="I9" s="4">
        <v>151.0</v>
      </c>
      <c r="J9" s="4">
        <v>151.0</v>
      </c>
      <c r="K9" s="4">
        <v>230.0</v>
      </c>
      <c r="L9" s="4">
        <v>230.0</v>
      </c>
      <c r="M9" s="4">
        <v>497.0</v>
      </c>
      <c r="N9" s="4">
        <v>284.0</v>
      </c>
      <c r="O9" s="4">
        <v>408.0</v>
      </c>
      <c r="P9" s="4">
        <v>51.0</v>
      </c>
      <c r="Q9" s="4">
        <v>390.0</v>
      </c>
      <c r="R9" s="4">
        <v>295.0</v>
      </c>
      <c r="S9" s="4">
        <v>410.0</v>
      </c>
      <c r="T9" s="4">
        <v>300.0</v>
      </c>
      <c r="U9" s="4">
        <v>365.0</v>
      </c>
      <c r="V9" s="4">
        <v>200.0</v>
      </c>
      <c r="W9" s="4">
        <v>58.0</v>
      </c>
      <c r="X9" s="4">
        <v>28.0</v>
      </c>
      <c r="Y9" s="4">
        <v>44.0</v>
      </c>
      <c r="Z9" s="4">
        <v>29.0</v>
      </c>
      <c r="AA9" s="4">
        <v>30.0</v>
      </c>
      <c r="AB9" s="4">
        <v>5.0</v>
      </c>
      <c r="AC9" s="4">
        <v>7.0</v>
      </c>
      <c r="AD9" s="4">
        <v>3.0</v>
      </c>
    </row>
    <row r="10">
      <c r="A10" s="4" t="s">
        <v>279</v>
      </c>
      <c r="B10" s="4" t="s">
        <v>280</v>
      </c>
      <c r="C10" s="4">
        <v>204.0</v>
      </c>
      <c r="D10" s="4">
        <v>196.0</v>
      </c>
      <c r="E10" s="4">
        <v>198.0</v>
      </c>
      <c r="F10" s="4">
        <v>153.0</v>
      </c>
      <c r="G10" s="4">
        <v>237.0</v>
      </c>
      <c r="H10" s="4">
        <v>227.0</v>
      </c>
      <c r="I10" s="4">
        <v>151.0</v>
      </c>
      <c r="J10" s="4">
        <v>119.0</v>
      </c>
      <c r="K10" s="4">
        <v>230.0</v>
      </c>
      <c r="L10" s="4">
        <v>230.0</v>
      </c>
      <c r="M10" s="4">
        <v>426.0</v>
      </c>
      <c r="N10" s="4">
        <v>71.0</v>
      </c>
      <c r="O10" s="4">
        <v>357.0</v>
      </c>
      <c r="P10" s="60">
        <v>0.0</v>
      </c>
      <c r="Q10" s="4">
        <v>495.0</v>
      </c>
      <c r="R10" s="4">
        <v>90.0</v>
      </c>
      <c r="S10" s="4">
        <v>300.0</v>
      </c>
      <c r="T10" s="4">
        <v>60.0</v>
      </c>
      <c r="U10" s="4">
        <v>200.0</v>
      </c>
      <c r="V10" s="4">
        <v>55.0</v>
      </c>
      <c r="W10" s="4">
        <v>28.0</v>
      </c>
      <c r="X10" s="4">
        <v>13.0</v>
      </c>
      <c r="Y10" s="4">
        <v>29.0</v>
      </c>
      <c r="Z10" s="4">
        <v>22.0</v>
      </c>
      <c r="AA10" s="4">
        <v>5.0</v>
      </c>
      <c r="AB10" s="4">
        <v>5.0</v>
      </c>
      <c r="AC10" s="4">
        <v>3.0</v>
      </c>
      <c r="AD10" s="4">
        <v>3.0</v>
      </c>
    </row>
    <row r="11">
      <c r="A11" s="4" t="s">
        <v>281</v>
      </c>
      <c r="B11" s="4" t="s">
        <v>282</v>
      </c>
      <c r="C11" s="4">
        <v>196.0</v>
      </c>
      <c r="D11" s="4">
        <v>123.0</v>
      </c>
      <c r="E11" s="4">
        <v>153.0</v>
      </c>
      <c r="F11" s="4">
        <v>89.0</v>
      </c>
      <c r="G11" s="4">
        <v>227.0</v>
      </c>
      <c r="H11" s="4">
        <v>195.0</v>
      </c>
      <c r="I11" s="4">
        <v>119.0</v>
      </c>
      <c r="J11" s="4">
        <v>115.0</v>
      </c>
      <c r="K11" s="4">
        <v>230.0</v>
      </c>
      <c r="L11" s="4">
        <v>184.0</v>
      </c>
      <c r="M11" s="4">
        <v>497.0</v>
      </c>
      <c r="N11" s="4">
        <v>284.0</v>
      </c>
      <c r="O11" s="4">
        <v>306.0</v>
      </c>
      <c r="P11" s="60">
        <v>0.0</v>
      </c>
      <c r="Q11" s="4">
        <v>590.0</v>
      </c>
      <c r="R11" s="4">
        <v>240.0</v>
      </c>
      <c r="S11" s="4">
        <v>560.0</v>
      </c>
      <c r="T11" s="4">
        <v>230.0</v>
      </c>
      <c r="U11" s="4">
        <v>555.0</v>
      </c>
      <c r="V11" s="4">
        <v>450.0</v>
      </c>
      <c r="W11" s="4">
        <v>53.0</v>
      </c>
      <c r="X11" s="4">
        <v>27.0</v>
      </c>
      <c r="Y11" s="4">
        <v>62.0</v>
      </c>
      <c r="Z11" s="4">
        <v>30.0</v>
      </c>
      <c r="AA11" s="4">
        <v>25.0</v>
      </c>
      <c r="AB11" s="4">
        <v>25.0</v>
      </c>
      <c r="AC11" s="4">
        <v>8.0</v>
      </c>
      <c r="AD11" s="4">
        <v>6.0</v>
      </c>
    </row>
    <row r="12">
      <c r="A12" s="4" t="s">
        <v>283</v>
      </c>
      <c r="B12" s="4" t="s">
        <v>284</v>
      </c>
      <c r="C12" s="4">
        <v>223.0</v>
      </c>
      <c r="D12" s="4">
        <v>223.0</v>
      </c>
      <c r="E12" s="4">
        <v>189.0</v>
      </c>
      <c r="F12" s="4">
        <v>189.0</v>
      </c>
      <c r="G12" s="4">
        <v>195.0</v>
      </c>
      <c r="H12" s="4">
        <v>192.0</v>
      </c>
      <c r="I12" s="4">
        <v>119.0</v>
      </c>
      <c r="J12" s="4">
        <v>99.0</v>
      </c>
      <c r="K12" s="4">
        <v>184.0</v>
      </c>
      <c r="L12" s="4">
        <v>184.0</v>
      </c>
      <c r="M12" s="4">
        <v>568.0</v>
      </c>
      <c r="N12" s="4">
        <f>568-284</f>
        <v>284</v>
      </c>
      <c r="O12" s="4">
        <v>510.0</v>
      </c>
      <c r="P12" s="4">
        <v>51.0</v>
      </c>
      <c r="Q12" s="4">
        <v>540.0</v>
      </c>
      <c r="R12" s="4">
        <f>540-150</f>
        <v>390</v>
      </c>
      <c r="S12" s="4">
        <v>530.0</v>
      </c>
      <c r="T12" s="4">
        <v>482.0</v>
      </c>
      <c r="U12" s="4">
        <v>450.0</v>
      </c>
      <c r="V12" s="4">
        <v>160.0</v>
      </c>
      <c r="W12" s="4">
        <v>27.0</v>
      </c>
      <c r="X12" s="4">
        <v>22.0</v>
      </c>
      <c r="Y12" s="4">
        <v>30.0</v>
      </c>
      <c r="Z12" s="4">
        <v>16.0</v>
      </c>
      <c r="AA12" s="4">
        <v>45.0</v>
      </c>
      <c r="AB12" s="26">
        <v>20.0</v>
      </c>
      <c r="AC12" s="4">
        <v>6.0</v>
      </c>
      <c r="AD12" s="4">
        <v>6.0</v>
      </c>
    </row>
    <row r="13">
      <c r="A13" s="4" t="s">
        <v>285</v>
      </c>
      <c r="B13" s="4" t="s">
        <v>286</v>
      </c>
      <c r="C13" s="4">
        <v>223.0</v>
      </c>
      <c r="D13" s="4">
        <v>202.0</v>
      </c>
      <c r="E13" s="4">
        <v>189.0</v>
      </c>
      <c r="F13" s="4">
        <v>150.0</v>
      </c>
      <c r="G13" s="4">
        <v>192.0</v>
      </c>
      <c r="H13" s="4">
        <v>162.0</v>
      </c>
      <c r="I13" s="4">
        <v>99.0</v>
      </c>
      <c r="J13" s="4">
        <v>49.0</v>
      </c>
      <c r="K13" s="4">
        <v>184.0</v>
      </c>
      <c r="L13" s="4">
        <v>138.0</v>
      </c>
      <c r="M13" s="4">
        <v>426.0</v>
      </c>
      <c r="N13" s="60">
        <v>-142.0</v>
      </c>
      <c r="O13" s="4">
        <v>1020.0</v>
      </c>
      <c r="P13" s="4">
        <v>204.0</v>
      </c>
      <c r="Q13" s="4">
        <v>390.0</v>
      </c>
      <c r="R13" s="4">
        <v>310.0</v>
      </c>
      <c r="S13" s="4">
        <v>482.0</v>
      </c>
      <c r="T13" s="4">
        <v>52.0</v>
      </c>
      <c r="U13" s="4">
        <v>1160.0</v>
      </c>
      <c r="V13" s="4">
        <v>310.0</v>
      </c>
      <c r="W13" s="4">
        <v>62.0</v>
      </c>
      <c r="X13" s="4">
        <v>62.0</v>
      </c>
      <c r="Y13" s="4">
        <v>56.0</v>
      </c>
      <c r="Z13" s="4">
        <v>20.0</v>
      </c>
      <c r="AA13" s="4">
        <v>40.0</v>
      </c>
      <c r="AB13" s="4">
        <v>40.0</v>
      </c>
      <c r="AC13" s="4">
        <v>6.0</v>
      </c>
      <c r="AD13" s="4">
        <v>1.0</v>
      </c>
    </row>
    <row r="14">
      <c r="A14" s="4" t="s">
        <v>287</v>
      </c>
      <c r="B14" s="4" t="s">
        <v>288</v>
      </c>
      <c r="C14" s="4">
        <v>202.0</v>
      </c>
      <c r="D14" s="4">
        <v>150.0</v>
      </c>
      <c r="E14" s="4">
        <v>150.0</v>
      </c>
      <c r="F14" s="4">
        <v>31.0</v>
      </c>
      <c r="G14" s="4">
        <v>162.0</v>
      </c>
      <c r="H14" s="4">
        <v>137.0</v>
      </c>
      <c r="I14" s="4">
        <v>249.0</v>
      </c>
      <c r="J14" s="4">
        <v>224.0</v>
      </c>
      <c r="K14" s="4">
        <v>138.0</v>
      </c>
      <c r="L14" s="4">
        <v>138.0</v>
      </c>
      <c r="M14" s="4">
        <v>355.0</v>
      </c>
      <c r="N14" s="4">
        <v>355.0</v>
      </c>
      <c r="O14" s="4">
        <v>714.0</v>
      </c>
      <c r="P14" s="4">
        <v>459.0</v>
      </c>
      <c r="Q14" s="4">
        <v>310.0</v>
      </c>
      <c r="R14" s="4">
        <v>140.0</v>
      </c>
      <c r="S14" s="4">
        <v>352.0</v>
      </c>
      <c r="T14" s="4">
        <v>287.0</v>
      </c>
      <c r="U14" s="4">
        <v>310.0</v>
      </c>
      <c r="V14" s="60">
        <v>-330.0</v>
      </c>
      <c r="W14" s="4">
        <v>62.0</v>
      </c>
      <c r="X14" s="4">
        <v>27.0</v>
      </c>
      <c r="Y14" s="4">
        <v>60.0</v>
      </c>
      <c r="Z14" s="4">
        <v>13.0</v>
      </c>
      <c r="AA14" s="4">
        <v>40.0</v>
      </c>
      <c r="AB14" s="4">
        <v>35.0</v>
      </c>
      <c r="AC14" s="4">
        <v>6.0</v>
      </c>
      <c r="AD14" s="4">
        <v>6.0</v>
      </c>
    </row>
    <row r="15">
      <c r="A15" s="4" t="s">
        <v>289</v>
      </c>
      <c r="B15" s="4" t="s">
        <v>290</v>
      </c>
      <c r="C15" s="4">
        <v>150.0</v>
      </c>
      <c r="D15" s="4">
        <v>146.0</v>
      </c>
      <c r="E15" s="4">
        <v>231.0</v>
      </c>
      <c r="F15" s="4">
        <v>226.0</v>
      </c>
      <c r="G15" s="4">
        <v>137.0</v>
      </c>
      <c r="H15" s="4">
        <v>106.0</v>
      </c>
      <c r="I15" s="4">
        <v>224.0</v>
      </c>
      <c r="J15" s="4">
        <v>224.0</v>
      </c>
      <c r="K15" s="4">
        <v>138.0</v>
      </c>
      <c r="L15" s="4">
        <v>138.0</v>
      </c>
      <c r="M15" s="4">
        <v>355.0</v>
      </c>
      <c r="N15" s="4">
        <v>142.0</v>
      </c>
      <c r="O15" s="4">
        <v>459.0</v>
      </c>
      <c r="P15" s="4">
        <v>408.0</v>
      </c>
      <c r="Q15" s="4">
        <v>740.0</v>
      </c>
      <c r="R15" s="4">
        <v>500.0</v>
      </c>
      <c r="S15" s="4">
        <v>887.0</v>
      </c>
      <c r="T15" s="4">
        <v>840.0</v>
      </c>
      <c r="U15" s="4">
        <v>270.0</v>
      </c>
      <c r="V15" s="4">
        <v>60.0</v>
      </c>
      <c r="W15" s="4">
        <v>67.0</v>
      </c>
      <c r="X15" s="4">
        <v>17.0</v>
      </c>
      <c r="Y15" s="4">
        <v>53.0</v>
      </c>
      <c r="Z15" s="4">
        <v>46.0</v>
      </c>
      <c r="AA15" s="4">
        <v>35.0</v>
      </c>
      <c r="AB15" s="4">
        <v>35.0</v>
      </c>
      <c r="AC15" s="4">
        <v>6.0</v>
      </c>
      <c r="AD15" s="4">
        <v>4.0</v>
      </c>
    </row>
    <row r="16">
      <c r="A16" s="4" t="s">
        <v>291</v>
      </c>
      <c r="B16" s="4" t="s">
        <v>292</v>
      </c>
      <c r="C16" s="4">
        <v>146.0</v>
      </c>
      <c r="D16" s="4">
        <v>141.0</v>
      </c>
      <c r="E16" s="4">
        <v>226.0</v>
      </c>
      <c r="F16" s="4">
        <v>183.0</v>
      </c>
      <c r="G16" s="4">
        <v>106.0</v>
      </c>
      <c r="H16" s="4">
        <v>106.0</v>
      </c>
      <c r="I16" s="4">
        <v>224.0</v>
      </c>
      <c r="J16" s="4">
        <v>222.0</v>
      </c>
      <c r="K16" s="4">
        <v>138.0</v>
      </c>
      <c r="L16" s="4">
        <v>138.0</v>
      </c>
      <c r="M16" s="4">
        <v>497.0</v>
      </c>
      <c r="N16" s="4">
        <v>497.0</v>
      </c>
      <c r="O16" s="4">
        <v>408.0</v>
      </c>
      <c r="P16" s="4">
        <v>255.0</v>
      </c>
      <c r="Q16" s="4">
        <v>500.0</v>
      </c>
      <c r="R16" s="4">
        <v>500.0</v>
      </c>
      <c r="S16" s="4">
        <v>843.0</v>
      </c>
      <c r="T16" s="4">
        <v>799.0</v>
      </c>
      <c r="U16" s="4">
        <v>560.0</v>
      </c>
      <c r="V16" s="4">
        <v>217.0</v>
      </c>
      <c r="W16" s="4">
        <v>57.0</v>
      </c>
      <c r="X16" s="4">
        <v>40.0</v>
      </c>
      <c r="Y16" s="4">
        <v>46.0</v>
      </c>
      <c r="Z16" s="4">
        <v>46.0</v>
      </c>
      <c r="AA16" s="4">
        <v>35.0</v>
      </c>
      <c r="AB16" s="4">
        <v>35.0</v>
      </c>
      <c r="AC16" s="4">
        <v>4.0</v>
      </c>
      <c r="AD16" s="4">
        <v>4.0</v>
      </c>
    </row>
    <row r="17">
      <c r="A17" s="4" t="s">
        <v>293</v>
      </c>
      <c r="B17" s="4" t="s">
        <v>294</v>
      </c>
      <c r="C17" s="4">
        <v>141.0</v>
      </c>
      <c r="D17" s="4">
        <v>103.0</v>
      </c>
      <c r="E17" s="4">
        <v>183.0</v>
      </c>
      <c r="F17" s="4">
        <v>159.0</v>
      </c>
      <c r="G17" s="4">
        <v>106.0</v>
      </c>
      <c r="H17" s="4">
        <v>82.0</v>
      </c>
      <c r="I17" s="4">
        <v>222.0</v>
      </c>
      <c r="J17" s="4">
        <v>222.0</v>
      </c>
      <c r="K17" s="4">
        <v>138.0</v>
      </c>
      <c r="L17" s="4">
        <v>92.0</v>
      </c>
      <c r="M17" s="4">
        <v>497.0</v>
      </c>
      <c r="N17" s="4">
        <v>284.0</v>
      </c>
      <c r="O17" s="4">
        <v>510.0</v>
      </c>
      <c r="P17" s="4">
        <v>510.0</v>
      </c>
      <c r="Q17" s="4">
        <v>500.0</v>
      </c>
      <c r="R17" s="4">
        <v>175.0</v>
      </c>
      <c r="S17" s="4">
        <v>799.0</v>
      </c>
      <c r="T17" s="4">
        <v>729.0</v>
      </c>
      <c r="U17" s="4">
        <v>217.0</v>
      </c>
      <c r="V17" s="4">
        <v>27.0</v>
      </c>
      <c r="W17" s="4">
        <v>40.0</v>
      </c>
      <c r="X17" s="4">
        <v>8.0</v>
      </c>
      <c r="Y17" s="4">
        <v>46.0</v>
      </c>
      <c r="Z17" s="4">
        <v>9.0</v>
      </c>
      <c r="AA17" s="4">
        <v>35.0</v>
      </c>
      <c r="AB17" s="4">
        <v>30.0</v>
      </c>
      <c r="AC17" s="4">
        <v>4.0</v>
      </c>
      <c r="AD17" s="4">
        <v>4.0</v>
      </c>
    </row>
    <row r="18">
      <c r="A18" s="4" t="s">
        <v>295</v>
      </c>
      <c r="B18" s="4" t="s">
        <v>296</v>
      </c>
      <c r="C18" s="4">
        <v>103.0</v>
      </c>
      <c r="D18" s="4">
        <v>65.0</v>
      </c>
      <c r="E18" s="4">
        <v>159.0</v>
      </c>
      <c r="F18" s="4">
        <v>141.0</v>
      </c>
      <c r="G18" s="4">
        <v>82.0</v>
      </c>
      <c r="H18" s="4">
        <v>22.0</v>
      </c>
      <c r="I18" s="4">
        <v>222.0</v>
      </c>
      <c r="J18" s="4">
        <v>189.0</v>
      </c>
      <c r="K18" s="4">
        <v>92.0</v>
      </c>
      <c r="L18" s="4">
        <v>46.0</v>
      </c>
      <c r="M18" s="4">
        <v>284.0</v>
      </c>
      <c r="N18" s="4">
        <v>142.0</v>
      </c>
      <c r="O18" s="4">
        <v>510.0</v>
      </c>
      <c r="P18" s="4">
        <v>204.0</v>
      </c>
      <c r="Q18" s="4">
        <v>675.0</v>
      </c>
      <c r="R18" s="4">
        <v>455.0</v>
      </c>
      <c r="S18" s="4">
        <v>729.0</v>
      </c>
      <c r="T18" s="4">
        <v>239.0</v>
      </c>
      <c r="U18" s="4">
        <v>1027.0</v>
      </c>
      <c r="V18" s="4">
        <v>383.0</v>
      </c>
      <c r="W18" s="4">
        <v>88.0</v>
      </c>
      <c r="X18" s="4">
        <v>36.0</v>
      </c>
      <c r="Y18" s="4">
        <v>49.0</v>
      </c>
      <c r="Z18" s="4">
        <v>23.0</v>
      </c>
      <c r="AA18" s="4">
        <v>30.0</v>
      </c>
      <c r="AB18" s="4">
        <v>30.0</v>
      </c>
      <c r="AC18" s="4">
        <v>14.0</v>
      </c>
      <c r="AD18" s="4">
        <v>14.0</v>
      </c>
    </row>
    <row r="19">
      <c r="A19" s="4" t="s">
        <v>297</v>
      </c>
      <c r="B19" s="4" t="s">
        <v>298</v>
      </c>
      <c r="C19" s="4">
        <v>265.0</v>
      </c>
      <c r="D19" s="4">
        <v>130.0</v>
      </c>
      <c r="E19" s="4">
        <v>141.0</v>
      </c>
      <c r="F19" s="4">
        <v>81.0</v>
      </c>
      <c r="G19" s="4">
        <v>222.0</v>
      </c>
      <c r="H19" s="4">
        <v>112.0</v>
      </c>
      <c r="I19" s="4">
        <v>189.0</v>
      </c>
      <c r="J19" s="4">
        <v>189.0</v>
      </c>
      <c r="K19" s="4">
        <v>230.0</v>
      </c>
      <c r="L19" s="4">
        <v>138.0</v>
      </c>
      <c r="M19" s="4">
        <v>639.0</v>
      </c>
      <c r="N19" s="4">
        <v>284.0</v>
      </c>
      <c r="O19" s="4">
        <v>714.0</v>
      </c>
      <c r="P19" s="4">
        <v>459.0</v>
      </c>
      <c r="Q19" s="4">
        <v>455.0</v>
      </c>
      <c r="R19" s="60">
        <v>-15.0</v>
      </c>
      <c r="S19" s="4">
        <v>239.0</v>
      </c>
      <c r="T19" s="4">
        <v>214.0</v>
      </c>
      <c r="U19" s="4">
        <v>983.0</v>
      </c>
      <c r="V19" s="60">
        <v>-97.0</v>
      </c>
      <c r="W19" s="4">
        <v>76.0</v>
      </c>
      <c r="X19" s="4">
        <v>26.0</v>
      </c>
      <c r="Y19" s="4">
        <v>63.0</v>
      </c>
      <c r="Z19" s="4">
        <v>35.0</v>
      </c>
      <c r="AA19" s="4">
        <v>30.0</v>
      </c>
      <c r="AB19" s="4">
        <v>30.0</v>
      </c>
      <c r="AC19" s="4">
        <v>14.0</v>
      </c>
      <c r="AD19" s="4">
        <v>9.0</v>
      </c>
    </row>
    <row r="20">
      <c r="A20" s="4" t="s">
        <v>299</v>
      </c>
      <c r="B20" s="4" t="s">
        <v>300</v>
      </c>
      <c r="C20" s="4">
        <v>130.0</v>
      </c>
      <c r="D20" s="4">
        <v>111.0</v>
      </c>
      <c r="E20" s="4">
        <v>281.0</v>
      </c>
      <c r="F20" s="4">
        <v>265.0</v>
      </c>
      <c r="G20" s="4">
        <v>112.0</v>
      </c>
      <c r="H20" s="4">
        <v>68.0</v>
      </c>
      <c r="I20" s="4">
        <v>189.0</v>
      </c>
      <c r="J20" s="4">
        <v>189.0</v>
      </c>
      <c r="K20" s="4">
        <v>138.0</v>
      </c>
      <c r="L20" s="4">
        <v>92.0</v>
      </c>
      <c r="M20" s="4">
        <v>639.0</v>
      </c>
      <c r="N20" s="60">
        <v>0.0</v>
      </c>
      <c r="O20" s="4">
        <v>459.0</v>
      </c>
      <c r="P20" s="4">
        <v>408.0</v>
      </c>
      <c r="Q20" s="4">
        <v>585.0</v>
      </c>
      <c r="R20" s="4">
        <v>210.0</v>
      </c>
      <c r="S20" s="4">
        <v>814.0</v>
      </c>
      <c r="T20" s="4">
        <v>614.0</v>
      </c>
      <c r="U20" s="4">
        <v>503.0</v>
      </c>
      <c r="V20" s="4">
        <v>453.0</v>
      </c>
      <c r="W20" s="4">
        <v>66.0</v>
      </c>
      <c r="X20" s="4">
        <v>33.0</v>
      </c>
      <c r="Y20" s="4">
        <v>75.0</v>
      </c>
      <c r="Z20" s="4">
        <v>20.0</v>
      </c>
      <c r="AA20" s="4">
        <v>30.0</v>
      </c>
      <c r="AB20" s="4">
        <v>30.0</v>
      </c>
      <c r="AC20" s="4">
        <v>9.0</v>
      </c>
      <c r="AD20" s="4">
        <v>4.0</v>
      </c>
    </row>
    <row r="21" ht="15.75" customHeight="1">
      <c r="A21" s="4" t="s">
        <v>301</v>
      </c>
      <c r="B21" s="4" t="s">
        <v>302</v>
      </c>
      <c r="C21" s="4">
        <v>111.0</v>
      </c>
      <c r="D21" s="4">
        <v>47.0</v>
      </c>
      <c r="E21" s="4">
        <v>265.0</v>
      </c>
      <c r="F21" s="4">
        <v>225.0</v>
      </c>
      <c r="G21" s="4">
        <v>268.0</v>
      </c>
      <c r="H21" s="4">
        <v>256.0</v>
      </c>
      <c r="I21" s="4">
        <v>189.0</v>
      </c>
      <c r="J21" s="4">
        <v>186.0</v>
      </c>
      <c r="K21" s="4">
        <v>276.0</v>
      </c>
      <c r="L21" s="4">
        <v>230.0</v>
      </c>
      <c r="M21" s="4">
        <v>639.0</v>
      </c>
      <c r="N21" s="4">
        <v>497.0</v>
      </c>
      <c r="O21" s="4">
        <v>408.0</v>
      </c>
      <c r="P21" s="4">
        <v>51.0</v>
      </c>
      <c r="Q21" s="4">
        <v>810.0</v>
      </c>
      <c r="R21" s="4">
        <v>540.0</v>
      </c>
      <c r="S21" s="4">
        <v>614.0</v>
      </c>
      <c r="T21" s="4">
        <v>559.0</v>
      </c>
      <c r="U21" s="4">
        <v>853.0</v>
      </c>
      <c r="V21" s="4">
        <v>353.0</v>
      </c>
      <c r="W21" s="4">
        <v>73.0</v>
      </c>
      <c r="X21" s="4">
        <v>45.0</v>
      </c>
      <c r="Y21" s="4">
        <v>60.0</v>
      </c>
      <c r="Z21" s="4">
        <v>60.0</v>
      </c>
      <c r="AA21" s="4">
        <v>30.0</v>
      </c>
      <c r="AB21" s="4">
        <v>30.0</v>
      </c>
      <c r="AC21" s="4">
        <v>9.0</v>
      </c>
      <c r="AD21" s="4">
        <v>9.0</v>
      </c>
    </row>
    <row r="22" ht="15.75" customHeight="1">
      <c r="A22" s="4" t="s">
        <v>303</v>
      </c>
      <c r="B22" s="4" t="s">
        <v>304</v>
      </c>
      <c r="C22" s="4">
        <v>247.0</v>
      </c>
      <c r="D22" s="4">
        <v>230.0</v>
      </c>
      <c r="E22" s="4">
        <v>225.0</v>
      </c>
      <c r="F22" s="4">
        <v>222.0</v>
      </c>
      <c r="G22" s="4">
        <v>256.0</v>
      </c>
      <c r="H22" s="4">
        <v>164.0</v>
      </c>
      <c r="I22" s="4">
        <v>186.0</v>
      </c>
      <c r="J22" s="4">
        <v>186.0</v>
      </c>
      <c r="K22" s="4">
        <v>230.0</v>
      </c>
      <c r="L22" s="4">
        <v>184.0</v>
      </c>
      <c r="M22" s="4">
        <v>497.0</v>
      </c>
      <c r="N22" s="4">
        <v>71.0</v>
      </c>
      <c r="O22" s="4">
        <v>561.0</v>
      </c>
      <c r="P22" s="4">
        <v>306.0</v>
      </c>
      <c r="Q22" s="4">
        <v>540.0</v>
      </c>
      <c r="R22" s="4">
        <v>420.0</v>
      </c>
      <c r="S22" s="4">
        <v>559.0</v>
      </c>
      <c r="T22" s="4">
        <v>9.0</v>
      </c>
      <c r="U22" s="4">
        <v>353.0</v>
      </c>
      <c r="V22" s="4">
        <v>143.0</v>
      </c>
      <c r="W22" s="4">
        <v>85.0</v>
      </c>
      <c r="X22" s="4">
        <v>40.0</v>
      </c>
      <c r="Y22" s="4">
        <v>60.0</v>
      </c>
      <c r="Z22" s="4">
        <v>21.0</v>
      </c>
      <c r="AA22" s="4">
        <v>30.0</v>
      </c>
      <c r="AB22" s="4">
        <v>30.0</v>
      </c>
      <c r="AC22" s="4">
        <v>9.0</v>
      </c>
      <c r="AD22" s="4">
        <v>9.0</v>
      </c>
    </row>
    <row r="23" ht="15.75" customHeight="1">
      <c r="A23" s="4" t="s">
        <v>305</v>
      </c>
      <c r="B23" s="4" t="s">
        <v>306</v>
      </c>
      <c r="C23" s="4">
        <v>230.0</v>
      </c>
      <c r="D23" s="4">
        <v>162.0</v>
      </c>
      <c r="E23" s="4">
        <v>222.0</v>
      </c>
      <c r="F23" s="4">
        <v>222.0</v>
      </c>
      <c r="G23" s="4">
        <v>164.0</v>
      </c>
      <c r="H23" s="4">
        <v>57.0</v>
      </c>
      <c r="I23" s="4">
        <v>186.0</v>
      </c>
      <c r="J23" s="4">
        <v>182.0</v>
      </c>
      <c r="K23" s="4">
        <v>184.0</v>
      </c>
      <c r="L23" s="4">
        <v>184.0</v>
      </c>
      <c r="M23" s="4">
        <v>568.0</v>
      </c>
      <c r="N23" s="4">
        <v>355.0</v>
      </c>
      <c r="O23" s="4">
        <v>612.0</v>
      </c>
      <c r="P23" s="4">
        <v>153.0</v>
      </c>
      <c r="Q23" s="4">
        <v>420.0</v>
      </c>
      <c r="R23" s="4">
        <v>420.0</v>
      </c>
      <c r="S23" s="4">
        <v>609.0</v>
      </c>
      <c r="T23" s="60">
        <v>-41.0</v>
      </c>
      <c r="U23" s="4">
        <v>743.0</v>
      </c>
      <c r="V23" s="4">
        <v>598.0</v>
      </c>
      <c r="W23" s="4">
        <v>80.0</v>
      </c>
      <c r="X23" s="4">
        <v>55.0</v>
      </c>
      <c r="Y23" s="4">
        <v>61.0</v>
      </c>
      <c r="Z23" s="4">
        <v>36.0</v>
      </c>
      <c r="AA23" s="4">
        <v>30.0</v>
      </c>
      <c r="AB23" s="4">
        <v>30.0</v>
      </c>
      <c r="AC23" s="4">
        <v>9.0</v>
      </c>
      <c r="AD23" s="4">
        <v>5.0</v>
      </c>
    </row>
    <row r="24" ht="15.75" customHeight="1">
      <c r="A24" s="4" t="s">
        <v>307</v>
      </c>
      <c r="B24" s="4" t="s">
        <v>308</v>
      </c>
      <c r="C24" s="4">
        <v>162.0</v>
      </c>
      <c r="D24" s="4">
        <v>145.0</v>
      </c>
      <c r="E24" s="4">
        <v>222.0</v>
      </c>
      <c r="F24" s="4">
        <v>126.0</v>
      </c>
      <c r="G24" s="4">
        <v>157.0</v>
      </c>
      <c r="H24" s="4">
        <v>123.0</v>
      </c>
      <c r="I24" s="4">
        <v>182.0</v>
      </c>
      <c r="J24" s="4">
        <v>180.0</v>
      </c>
      <c r="K24" s="4">
        <v>184.0</v>
      </c>
      <c r="L24" s="4">
        <v>184.0</v>
      </c>
      <c r="M24" s="4">
        <v>852.0</v>
      </c>
      <c r="N24" s="4">
        <v>852.0</v>
      </c>
      <c r="O24" s="4">
        <v>459.0</v>
      </c>
      <c r="P24" s="4">
        <v>255.0</v>
      </c>
      <c r="Q24" s="4">
        <v>420.0</v>
      </c>
      <c r="R24" s="4">
        <v>300.0</v>
      </c>
      <c r="S24" s="4">
        <v>559.0</v>
      </c>
      <c r="T24" s="4">
        <v>189.0</v>
      </c>
      <c r="U24" s="4">
        <v>598.0</v>
      </c>
      <c r="V24" s="4">
        <v>98.0</v>
      </c>
      <c r="W24" s="4">
        <v>95.0</v>
      </c>
      <c r="X24" s="4">
        <v>25.0</v>
      </c>
      <c r="Y24" s="4">
        <v>76.0</v>
      </c>
      <c r="Z24" s="4">
        <v>44.0</v>
      </c>
      <c r="AA24" s="4">
        <v>30.0</v>
      </c>
      <c r="AB24" s="4">
        <v>30.0</v>
      </c>
      <c r="AC24" s="4">
        <v>5.0</v>
      </c>
      <c r="AD24" s="4">
        <v>5.0</v>
      </c>
    </row>
    <row r="25" ht="15.75" customHeight="1">
      <c r="A25" s="4" t="s">
        <v>309</v>
      </c>
      <c r="B25" s="4" t="s">
        <v>310</v>
      </c>
      <c r="C25" s="4">
        <v>145.0</v>
      </c>
      <c r="D25" s="4">
        <v>120.0</v>
      </c>
      <c r="E25" s="4">
        <v>126.0</v>
      </c>
      <c r="F25" s="4">
        <v>103.0</v>
      </c>
      <c r="G25" s="4">
        <v>157.0</v>
      </c>
      <c r="H25" s="4">
        <v>49.0</v>
      </c>
      <c r="I25" s="4">
        <v>180.0</v>
      </c>
      <c r="J25" s="4">
        <v>151.0</v>
      </c>
      <c r="K25" s="4">
        <v>184.0</v>
      </c>
      <c r="L25" s="4">
        <v>138.0</v>
      </c>
      <c r="M25" s="4">
        <v>852.0</v>
      </c>
      <c r="N25" s="4">
        <v>568.0</v>
      </c>
      <c r="O25" s="4">
        <v>765.0</v>
      </c>
      <c r="P25" s="60">
        <v>-255.0</v>
      </c>
      <c r="Q25" s="4">
        <v>800.0</v>
      </c>
      <c r="R25" s="4">
        <v>800.0</v>
      </c>
      <c r="S25" s="4">
        <v>689.0</v>
      </c>
      <c r="T25" s="4">
        <v>39.0</v>
      </c>
      <c r="U25" s="4">
        <v>598.0</v>
      </c>
      <c r="V25" s="4">
        <v>73.0</v>
      </c>
      <c r="W25" s="4">
        <v>65.0</v>
      </c>
      <c r="X25" s="4">
        <v>46.0</v>
      </c>
      <c r="Y25" s="4">
        <v>84.0</v>
      </c>
      <c r="Z25" s="4">
        <v>71.0</v>
      </c>
      <c r="AA25" s="4">
        <v>30.0</v>
      </c>
      <c r="AB25" s="4">
        <v>25.0</v>
      </c>
      <c r="AC25" s="4">
        <v>10.0</v>
      </c>
      <c r="AD25" s="4">
        <v>2.0</v>
      </c>
    </row>
    <row r="26" ht="15.75" customHeight="1">
      <c r="A26" s="4" t="s">
        <v>311</v>
      </c>
      <c r="B26" s="4" t="s">
        <v>312</v>
      </c>
      <c r="C26" s="4">
        <v>120.0</v>
      </c>
      <c r="D26" s="4">
        <v>52.0</v>
      </c>
      <c r="E26" s="4">
        <v>126.0</v>
      </c>
      <c r="F26" s="4">
        <v>32.0</v>
      </c>
      <c r="G26" s="4">
        <v>149.0</v>
      </c>
      <c r="H26" s="4">
        <v>89.0</v>
      </c>
      <c r="I26" s="4">
        <v>151.0</v>
      </c>
      <c r="J26" s="4">
        <v>151.0</v>
      </c>
      <c r="K26" s="4">
        <v>138.0</v>
      </c>
      <c r="L26" s="4">
        <v>138.0</v>
      </c>
      <c r="M26" s="4">
        <v>568.0</v>
      </c>
      <c r="N26" s="4">
        <v>213.0</v>
      </c>
      <c r="O26" s="4">
        <v>714.0</v>
      </c>
      <c r="P26" s="4">
        <v>306.0</v>
      </c>
      <c r="Q26" s="4">
        <v>800.0</v>
      </c>
      <c r="R26" s="4">
        <v>625.0</v>
      </c>
      <c r="S26" s="4">
        <v>539.0</v>
      </c>
      <c r="T26" s="4">
        <v>179.0</v>
      </c>
      <c r="U26" s="4">
        <v>573.0</v>
      </c>
      <c r="V26" s="4">
        <v>223.0</v>
      </c>
      <c r="W26" s="4">
        <v>86.0</v>
      </c>
      <c r="X26" s="4">
        <v>66.0</v>
      </c>
      <c r="Y26" s="4">
        <v>71.0</v>
      </c>
      <c r="Z26" s="4">
        <v>42.0</v>
      </c>
      <c r="AA26" s="4">
        <v>25.0</v>
      </c>
      <c r="AB26" s="4">
        <v>25.0</v>
      </c>
      <c r="AC26" s="4">
        <v>10.0</v>
      </c>
      <c r="AD26" s="4">
        <v>10.0</v>
      </c>
    </row>
    <row r="27" ht="15.75" customHeight="1">
      <c r="A27" s="4" t="s">
        <v>313</v>
      </c>
      <c r="B27" s="4" t="s">
        <v>314</v>
      </c>
      <c r="C27" s="4">
        <v>152.0</v>
      </c>
      <c r="D27" s="4">
        <v>38.0</v>
      </c>
      <c r="E27" s="4">
        <v>232.0</v>
      </c>
      <c r="F27" s="4">
        <v>67.0</v>
      </c>
      <c r="G27" s="4">
        <v>189.0</v>
      </c>
      <c r="H27" s="4">
        <v>174.0</v>
      </c>
      <c r="I27" s="4">
        <v>151.0</v>
      </c>
      <c r="J27" s="4">
        <v>151.0</v>
      </c>
      <c r="K27" s="4">
        <v>138.0</v>
      </c>
      <c r="L27" s="4">
        <v>138.0</v>
      </c>
      <c r="M27" s="4">
        <v>568.0</v>
      </c>
      <c r="N27" s="4">
        <v>284.0</v>
      </c>
      <c r="O27" s="4">
        <v>714.0</v>
      </c>
      <c r="P27" s="4">
        <v>359.0</v>
      </c>
      <c r="Q27" s="4">
        <v>625.0</v>
      </c>
      <c r="R27" s="4">
        <v>575.0</v>
      </c>
      <c r="S27" s="4">
        <v>679.0</v>
      </c>
      <c r="T27" s="4">
        <v>549.0</v>
      </c>
      <c r="U27" s="4">
        <v>723.0</v>
      </c>
      <c r="V27" s="4">
        <v>83.0</v>
      </c>
      <c r="W27" s="4">
        <v>66.0</v>
      </c>
      <c r="X27" s="4">
        <v>66.0</v>
      </c>
      <c r="Y27" s="4">
        <v>42.0</v>
      </c>
      <c r="Z27" s="4">
        <v>7.0</v>
      </c>
      <c r="AA27" s="4">
        <v>25.0</v>
      </c>
      <c r="AB27" s="4">
        <v>25.0</v>
      </c>
      <c r="AC27" s="4">
        <v>10.0</v>
      </c>
      <c r="AD27" s="4">
        <v>8.0</v>
      </c>
    </row>
    <row r="28" ht="15.75" customHeight="1">
      <c r="A28" s="4" t="s">
        <v>315</v>
      </c>
      <c r="B28" s="4" t="s">
        <v>316</v>
      </c>
      <c r="C28" s="4">
        <v>138.0</v>
      </c>
      <c r="D28" s="4">
        <v>13.0</v>
      </c>
      <c r="E28" s="4">
        <v>167.0</v>
      </c>
      <c r="F28" s="4">
        <v>137.0</v>
      </c>
      <c r="G28" s="4">
        <v>174.0</v>
      </c>
      <c r="H28" s="4">
        <v>74.0</v>
      </c>
      <c r="I28" s="4">
        <v>151.0</v>
      </c>
      <c r="J28" s="4">
        <v>121.0</v>
      </c>
      <c r="K28" s="4">
        <v>138.0</v>
      </c>
      <c r="L28" s="4">
        <v>46.0</v>
      </c>
      <c r="M28" s="4">
        <v>568.0</v>
      </c>
      <c r="N28" s="4">
        <v>497.0</v>
      </c>
      <c r="O28" s="4">
        <v>665.0</v>
      </c>
      <c r="P28" s="4">
        <v>563.0</v>
      </c>
      <c r="Q28" s="4">
        <v>575.0</v>
      </c>
      <c r="R28" s="4">
        <v>250.0</v>
      </c>
      <c r="S28" s="4">
        <v>549.0</v>
      </c>
      <c r="T28" s="4">
        <v>249.0</v>
      </c>
      <c r="U28" s="4">
        <v>583.0</v>
      </c>
      <c r="V28" s="4">
        <v>368.0</v>
      </c>
      <c r="W28" s="4">
        <v>66.0</v>
      </c>
      <c r="X28" s="4">
        <v>56.0</v>
      </c>
      <c r="Y28" s="4">
        <v>47.0</v>
      </c>
      <c r="Z28" s="4">
        <v>23.0</v>
      </c>
      <c r="AA28" s="4">
        <v>25.0</v>
      </c>
      <c r="AB28" s="4">
        <v>15.0</v>
      </c>
      <c r="AC28" s="4">
        <v>8.0</v>
      </c>
      <c r="AD28" s="4">
        <v>8.0</v>
      </c>
    </row>
    <row r="29" ht="15.75" customHeight="1">
      <c r="A29" s="4" t="s">
        <v>317</v>
      </c>
      <c r="B29" s="4" t="s">
        <v>318</v>
      </c>
      <c r="C29" s="4">
        <v>113.0</v>
      </c>
      <c r="D29" s="4">
        <v>83.0</v>
      </c>
      <c r="E29" s="4">
        <v>137.0</v>
      </c>
      <c r="F29" s="4">
        <v>67.0</v>
      </c>
      <c r="G29" s="4">
        <v>174.0</v>
      </c>
      <c r="H29" s="4">
        <v>112.0</v>
      </c>
      <c r="I29" s="4">
        <v>121.0</v>
      </c>
      <c r="J29" s="4">
        <v>56.0</v>
      </c>
      <c r="K29" s="4">
        <v>230.0</v>
      </c>
      <c r="L29" s="4">
        <v>230.0</v>
      </c>
      <c r="M29" s="4">
        <v>497.0</v>
      </c>
      <c r="N29" s="4">
        <v>355.0</v>
      </c>
      <c r="O29" s="4">
        <v>563.0</v>
      </c>
      <c r="P29" s="4">
        <v>308.0</v>
      </c>
      <c r="Q29" s="4">
        <v>550.0</v>
      </c>
      <c r="R29" s="4">
        <v>300.0</v>
      </c>
      <c r="S29" s="4">
        <v>549.0</v>
      </c>
      <c r="T29" s="4">
        <v>349.0</v>
      </c>
      <c r="U29" s="4">
        <v>668.0</v>
      </c>
      <c r="V29" s="4">
        <v>568.0</v>
      </c>
      <c r="W29" s="4">
        <v>56.0</v>
      </c>
      <c r="X29" s="4">
        <v>36.0</v>
      </c>
      <c r="Y29" s="4">
        <v>63.0</v>
      </c>
      <c r="Z29" s="4">
        <v>11.0</v>
      </c>
      <c r="AA29" s="4">
        <v>35.0</v>
      </c>
      <c r="AB29" s="4">
        <v>25.0</v>
      </c>
      <c r="AC29" s="4">
        <v>8.0</v>
      </c>
      <c r="AD29" s="4">
        <v>3.0</v>
      </c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:J1"/>
    <mergeCell ref="K1:P1"/>
    <mergeCell ref="Q1:V1"/>
    <mergeCell ref="W1:X1"/>
    <mergeCell ref="Y1:Z1"/>
    <mergeCell ref="AA1:AB1"/>
    <mergeCell ref="AC1:AD1"/>
    <mergeCell ref="Q2:R2"/>
    <mergeCell ref="S2:T2"/>
    <mergeCell ref="U2:V2"/>
    <mergeCell ref="W2:X2"/>
    <mergeCell ref="Y2:Z2"/>
    <mergeCell ref="AA2:AB2"/>
    <mergeCell ref="AC2:AD2"/>
    <mergeCell ref="C2:D2"/>
    <mergeCell ref="E2:F2"/>
    <mergeCell ref="G2:H2"/>
    <mergeCell ref="I2:J2"/>
    <mergeCell ref="K2:L2"/>
    <mergeCell ref="M2:N2"/>
    <mergeCell ref="O2:P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8.88"/>
    <col customWidth="1" min="3" max="3" width="17.38"/>
    <col customWidth="1" min="4" max="4" width="18.75"/>
    <col customWidth="1" min="5" max="5" width="19.63"/>
    <col customWidth="1" min="6" max="6" width="16.88"/>
    <col customWidth="1" min="9" max="9" width="15.88"/>
    <col customWidth="1" min="10" max="10" width="15.63"/>
    <col customWidth="1" min="11" max="11" width="16.38"/>
  </cols>
  <sheetData>
    <row r="1">
      <c r="A1" s="5"/>
      <c r="B1" s="43" t="s">
        <v>319</v>
      </c>
      <c r="F1" s="44" t="s">
        <v>25</v>
      </c>
      <c r="I1" s="45" t="s">
        <v>18</v>
      </c>
      <c r="L1" s="46" t="s">
        <v>29</v>
      </c>
      <c r="M1" s="47" t="s">
        <v>26</v>
      </c>
      <c r="N1" s="48" t="s">
        <v>22</v>
      </c>
      <c r="O1" s="49" t="s">
        <v>43</v>
      </c>
    </row>
    <row r="2">
      <c r="A2" s="58" t="s">
        <v>264</v>
      </c>
      <c r="B2" s="61" t="s">
        <v>14</v>
      </c>
      <c r="C2" s="61" t="s">
        <v>15</v>
      </c>
      <c r="D2" s="61" t="s">
        <v>11</v>
      </c>
      <c r="E2" s="61" t="s">
        <v>40</v>
      </c>
      <c r="F2" s="62" t="s">
        <v>254</v>
      </c>
      <c r="G2" s="62" t="s">
        <v>255</v>
      </c>
      <c r="H2" s="62" t="s">
        <v>256</v>
      </c>
      <c r="I2" s="63" t="s">
        <v>257</v>
      </c>
      <c r="J2" s="63" t="s">
        <v>259</v>
      </c>
      <c r="K2" s="63" t="s">
        <v>258</v>
      </c>
      <c r="L2" s="2" t="s">
        <v>320</v>
      </c>
      <c r="M2" s="64" t="s">
        <v>26</v>
      </c>
      <c r="N2" s="65" t="s">
        <v>262</v>
      </c>
      <c r="O2" s="66" t="s">
        <v>263</v>
      </c>
    </row>
    <row r="3">
      <c r="A3" s="4" t="s">
        <v>267</v>
      </c>
      <c r="B3" s="4">
        <v>0.0</v>
      </c>
      <c r="C3" s="4">
        <v>0.0</v>
      </c>
      <c r="D3" s="4">
        <v>200.0</v>
      </c>
      <c r="E3" s="4">
        <v>0.0</v>
      </c>
      <c r="F3" s="4">
        <v>0.0</v>
      </c>
      <c r="G3" s="4">
        <v>0.0</v>
      </c>
      <c r="H3" s="4">
        <v>255.0</v>
      </c>
      <c r="I3" s="4">
        <v>500.0</v>
      </c>
      <c r="J3" s="4">
        <v>500.0</v>
      </c>
      <c r="K3" s="4">
        <v>0.0</v>
      </c>
      <c r="L3" s="4">
        <v>0.0</v>
      </c>
      <c r="M3" s="4">
        <v>50.0</v>
      </c>
      <c r="N3" s="4">
        <v>0.0</v>
      </c>
      <c r="O3" s="4">
        <v>0.0</v>
      </c>
    </row>
    <row r="4">
      <c r="A4" s="4" t="s">
        <v>269</v>
      </c>
      <c r="B4" s="4">
        <v>200.0</v>
      </c>
      <c r="C4" s="4">
        <v>100.0</v>
      </c>
      <c r="D4" s="4">
        <v>0.0</v>
      </c>
      <c r="E4" s="4">
        <v>0.0</v>
      </c>
      <c r="F4" s="4">
        <v>0.0</v>
      </c>
      <c r="G4" s="4">
        <v>355.0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</row>
    <row r="5">
      <c r="A5" s="4" t="s">
        <v>271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497.0</v>
      </c>
      <c r="H5" s="4">
        <v>204.0</v>
      </c>
      <c r="I5" s="4">
        <v>300.0</v>
      </c>
      <c r="J5" s="4">
        <v>500.0</v>
      </c>
      <c r="K5" s="4">
        <v>200.0</v>
      </c>
      <c r="L5" s="4">
        <v>0.0</v>
      </c>
      <c r="M5" s="4">
        <v>0.0</v>
      </c>
      <c r="N5" s="4">
        <v>0.0</v>
      </c>
      <c r="O5" s="4">
        <v>0.0</v>
      </c>
    </row>
    <row r="6">
      <c r="A6" s="4" t="s">
        <v>273</v>
      </c>
      <c r="B6" s="4">
        <v>0.0</v>
      </c>
      <c r="C6" s="4">
        <v>0.0</v>
      </c>
      <c r="D6" s="4">
        <v>0.0</v>
      </c>
      <c r="E6" s="4">
        <v>100.0</v>
      </c>
      <c r="F6" s="4">
        <v>0.0</v>
      </c>
      <c r="G6" s="4">
        <v>355.0</v>
      </c>
      <c r="H6" s="4">
        <v>102.0</v>
      </c>
      <c r="I6" s="4">
        <v>300.0</v>
      </c>
      <c r="J6" s="4">
        <v>0.0</v>
      </c>
      <c r="K6" s="4">
        <v>300.0</v>
      </c>
      <c r="L6" s="4">
        <v>0.0</v>
      </c>
      <c r="M6" s="4">
        <v>0.0</v>
      </c>
      <c r="N6" s="4">
        <v>0.0</v>
      </c>
      <c r="O6" s="4">
        <v>3.0</v>
      </c>
    </row>
    <row r="7">
      <c r="A7" s="4" t="s">
        <v>275</v>
      </c>
      <c r="B7" s="4">
        <v>0.0</v>
      </c>
      <c r="C7" s="4">
        <v>100.0</v>
      </c>
      <c r="D7" s="4">
        <v>0.0</v>
      </c>
      <c r="E7" s="4">
        <v>0.0</v>
      </c>
      <c r="F7" s="4">
        <v>0.0</v>
      </c>
      <c r="G7" s="4">
        <v>355.0</v>
      </c>
      <c r="H7" s="4">
        <v>408.0</v>
      </c>
      <c r="I7" s="4">
        <v>0.0</v>
      </c>
      <c r="J7" s="4">
        <v>0.0</v>
      </c>
      <c r="K7" s="4">
        <v>200.0</v>
      </c>
      <c r="L7" s="4">
        <v>40.0</v>
      </c>
      <c r="M7" s="4">
        <v>40.0</v>
      </c>
      <c r="N7" s="4">
        <v>20.0</v>
      </c>
      <c r="O7" s="4">
        <v>5.0</v>
      </c>
    </row>
    <row r="8">
      <c r="A8" s="4" t="s">
        <v>277</v>
      </c>
      <c r="B8" s="4">
        <v>0.0</v>
      </c>
      <c r="C8" s="4">
        <v>100.0</v>
      </c>
      <c r="D8" s="4">
        <v>0.0</v>
      </c>
      <c r="E8" s="4">
        <v>0.0</v>
      </c>
      <c r="F8" s="4">
        <v>0.0</v>
      </c>
      <c r="G8" s="4">
        <v>142.0</v>
      </c>
      <c r="H8" s="4">
        <v>306.0</v>
      </c>
      <c r="I8" s="4">
        <v>200.0</v>
      </c>
      <c r="J8" s="5"/>
      <c r="K8" s="4">
        <v>0.0</v>
      </c>
      <c r="L8" s="4">
        <v>0.0</v>
      </c>
      <c r="M8" s="4">
        <v>0.0</v>
      </c>
      <c r="N8" s="4">
        <v>0.0</v>
      </c>
      <c r="O8" s="4">
        <v>0.0</v>
      </c>
    </row>
    <row r="9">
      <c r="A9" s="4" t="s">
        <v>279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426.0</v>
      </c>
      <c r="H9" s="4">
        <v>306.0</v>
      </c>
      <c r="I9" s="4">
        <v>500.0</v>
      </c>
      <c r="J9" s="4">
        <v>500.0</v>
      </c>
      <c r="K9" s="4">
        <v>500.0</v>
      </c>
      <c r="L9" s="4">
        <v>40.0</v>
      </c>
      <c r="M9" s="4">
        <v>40.0</v>
      </c>
      <c r="N9" s="4">
        <v>20.0</v>
      </c>
      <c r="O9" s="4">
        <v>5.0</v>
      </c>
    </row>
    <row r="10">
      <c r="A10" s="4" t="s">
        <v>281</v>
      </c>
      <c r="B10" s="4">
        <v>100.0</v>
      </c>
      <c r="C10" s="4">
        <v>100.0</v>
      </c>
      <c r="D10" s="4">
        <v>0.0</v>
      </c>
      <c r="E10" s="4">
        <v>0.0</v>
      </c>
      <c r="F10" s="4">
        <v>0.0</v>
      </c>
      <c r="G10" s="4">
        <v>284.0</v>
      </c>
      <c r="H10" s="4">
        <v>510.0</v>
      </c>
      <c r="I10" s="4">
        <v>300.0</v>
      </c>
      <c r="J10" s="4">
        <v>0.0</v>
      </c>
      <c r="K10" s="4">
        <v>300.0</v>
      </c>
      <c r="L10" s="4">
        <v>0.0</v>
      </c>
      <c r="M10" s="4">
        <v>0.0</v>
      </c>
      <c r="N10" s="4">
        <v>20.0</v>
      </c>
      <c r="O10" s="4">
        <v>0.0</v>
      </c>
    </row>
    <row r="11">
      <c r="A11" s="4" t="s">
        <v>283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142.0</v>
      </c>
      <c r="H11" s="4">
        <v>969.0</v>
      </c>
      <c r="I11" s="4">
        <v>0.0</v>
      </c>
      <c r="J11" s="4">
        <v>1000.0</v>
      </c>
      <c r="K11" s="4">
        <v>0.0</v>
      </c>
      <c r="L11" s="4">
        <v>40.0</v>
      </c>
      <c r="M11" s="4">
        <v>40.0</v>
      </c>
      <c r="N11" s="4">
        <v>20.0</v>
      </c>
      <c r="O11" s="4">
        <v>0.0</v>
      </c>
    </row>
    <row r="12">
      <c r="A12" s="4" t="s">
        <v>285</v>
      </c>
      <c r="B12" s="4">
        <v>0.0</v>
      </c>
      <c r="C12" s="4">
        <v>0.0</v>
      </c>
      <c r="D12" s="4">
        <v>0.0</v>
      </c>
      <c r="E12" s="4">
        <v>200.0</v>
      </c>
      <c r="F12" s="4">
        <v>0.0</v>
      </c>
      <c r="G12" s="4">
        <v>497.0</v>
      </c>
      <c r="H12" s="4">
        <v>510.0</v>
      </c>
      <c r="I12" s="4">
        <v>0.0</v>
      </c>
      <c r="J12" s="4">
        <v>0.0</v>
      </c>
      <c r="K12" s="4">
        <v>300.0</v>
      </c>
      <c r="L12" s="4">
        <v>0.0</v>
      </c>
      <c r="M12" s="4">
        <v>40.0</v>
      </c>
      <c r="N12" s="4">
        <v>0.0</v>
      </c>
      <c r="O12" s="4">
        <v>5.0</v>
      </c>
    </row>
    <row r="13">
      <c r="A13" s="4" t="s">
        <v>287</v>
      </c>
      <c r="B13" s="4">
        <v>0.0</v>
      </c>
      <c r="C13" s="4">
        <v>200.0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600.0</v>
      </c>
      <c r="J13" s="4">
        <v>600.0</v>
      </c>
      <c r="K13" s="4">
        <v>600.0</v>
      </c>
      <c r="L13" s="4">
        <v>40.0</v>
      </c>
      <c r="M13" s="4">
        <v>40.0</v>
      </c>
      <c r="N13" s="4">
        <v>0.0</v>
      </c>
      <c r="O13" s="4">
        <v>0.0</v>
      </c>
    </row>
    <row r="14">
      <c r="A14" s="4" t="s">
        <v>289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355.0</v>
      </c>
      <c r="H14" s="4">
        <v>0.0</v>
      </c>
      <c r="I14" s="4">
        <v>0.0</v>
      </c>
      <c r="J14" s="4">
        <v>500.0</v>
      </c>
      <c r="K14" s="4">
        <v>0.0</v>
      </c>
      <c r="L14" s="4">
        <v>40.0</v>
      </c>
      <c r="M14" s="4">
        <v>0.0</v>
      </c>
      <c r="N14" s="4">
        <v>0.0</v>
      </c>
      <c r="O14" s="4">
        <v>0.0</v>
      </c>
    </row>
    <row r="15">
      <c r="A15" s="4" t="s">
        <v>291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255.0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</row>
    <row r="16">
      <c r="A16" s="4" t="s">
        <v>293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500.0</v>
      </c>
      <c r="J16" s="4">
        <v>1000.0</v>
      </c>
      <c r="K16" s="4">
        <v>0.0</v>
      </c>
      <c r="L16" s="4">
        <v>80.0</v>
      </c>
      <c r="M16" s="4">
        <v>40.0</v>
      </c>
      <c r="N16" s="4">
        <v>0.0</v>
      </c>
      <c r="O16" s="4">
        <v>10.0</v>
      </c>
    </row>
    <row r="17">
      <c r="A17" s="4" t="s">
        <v>295</v>
      </c>
      <c r="B17" s="4">
        <v>200.0</v>
      </c>
      <c r="C17" s="4">
        <v>0.0</v>
      </c>
      <c r="D17" s="4">
        <v>200.0</v>
      </c>
      <c r="E17" s="4">
        <v>0.0</v>
      </c>
      <c r="F17" s="4">
        <v>184.0</v>
      </c>
      <c r="G17" s="4">
        <v>497.0</v>
      </c>
      <c r="H17" s="4">
        <v>510.0</v>
      </c>
      <c r="I17" s="4">
        <v>0.0</v>
      </c>
      <c r="J17" s="4">
        <v>600.0</v>
      </c>
      <c r="K17" s="4">
        <v>0.0</v>
      </c>
      <c r="L17" s="4">
        <v>40.0</v>
      </c>
      <c r="M17" s="4">
        <v>40.0</v>
      </c>
      <c r="N17" s="4">
        <v>0.0</v>
      </c>
      <c r="O17" s="4">
        <v>0.0</v>
      </c>
    </row>
    <row r="18">
      <c r="A18" s="4" t="s">
        <v>297</v>
      </c>
      <c r="B18" s="4">
        <v>0.0</v>
      </c>
      <c r="C18" s="4">
        <v>200.0</v>
      </c>
      <c r="D18" s="4">
        <v>0.0</v>
      </c>
      <c r="E18" s="4">
        <v>0.0</v>
      </c>
      <c r="F18" s="4">
        <v>0.0</v>
      </c>
      <c r="G18" s="4">
        <v>355.0</v>
      </c>
      <c r="H18" s="4">
        <v>0.0</v>
      </c>
      <c r="I18" s="4">
        <v>600.0</v>
      </c>
      <c r="J18" s="4">
        <v>600.0</v>
      </c>
      <c r="K18" s="4">
        <v>600.0</v>
      </c>
      <c r="L18" s="4">
        <v>40.0</v>
      </c>
      <c r="M18" s="4">
        <v>40.0</v>
      </c>
      <c r="N18" s="4">
        <v>0.0</v>
      </c>
      <c r="O18" s="4">
        <v>0.0</v>
      </c>
    </row>
    <row r="19">
      <c r="A19" s="4" t="s">
        <v>299</v>
      </c>
      <c r="B19" s="4">
        <v>0.0</v>
      </c>
      <c r="C19" s="4">
        <v>0.0</v>
      </c>
      <c r="D19" s="4">
        <v>200.0</v>
      </c>
      <c r="E19" s="4">
        <v>0.0</v>
      </c>
      <c r="F19" s="4">
        <v>184.0</v>
      </c>
      <c r="G19" s="4">
        <v>639.0</v>
      </c>
      <c r="H19" s="4">
        <v>0.0</v>
      </c>
      <c r="I19" s="4">
        <v>600.0</v>
      </c>
      <c r="J19" s="4">
        <v>400.0</v>
      </c>
      <c r="K19" s="4">
        <v>0.0</v>
      </c>
      <c r="L19" s="4">
        <v>40.0</v>
      </c>
      <c r="M19" s="4">
        <v>40.0</v>
      </c>
      <c r="N19" s="4">
        <v>0.0</v>
      </c>
      <c r="O19" s="4">
        <v>5.0</v>
      </c>
    </row>
    <row r="20">
      <c r="A20" s="4" t="s">
        <v>301</v>
      </c>
      <c r="B20" s="4">
        <v>200.0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510.0</v>
      </c>
      <c r="I20" s="4">
        <v>0.0</v>
      </c>
      <c r="J20" s="4">
        <v>0.0</v>
      </c>
      <c r="K20" s="4">
        <v>0.0</v>
      </c>
      <c r="L20" s="4">
        <v>40.0</v>
      </c>
      <c r="M20" s="4">
        <v>0.0</v>
      </c>
      <c r="N20" s="4">
        <v>0.0</v>
      </c>
      <c r="O20" s="4">
        <v>0.0</v>
      </c>
    </row>
    <row r="21" ht="15.75" customHeight="1">
      <c r="A21" s="4" t="s">
        <v>303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497.0</v>
      </c>
      <c r="H21" s="4">
        <v>306.0</v>
      </c>
      <c r="I21" s="4">
        <v>0.0</v>
      </c>
      <c r="J21" s="4">
        <v>600.0</v>
      </c>
      <c r="K21" s="4">
        <v>600.0</v>
      </c>
      <c r="L21" s="4">
        <v>40.0</v>
      </c>
      <c r="M21" s="4">
        <v>40.0</v>
      </c>
      <c r="N21" s="4">
        <v>0.0</v>
      </c>
      <c r="O21" s="4">
        <v>0.0</v>
      </c>
    </row>
    <row r="22" ht="15.75" customHeight="1">
      <c r="A22" s="4" t="s">
        <v>305</v>
      </c>
      <c r="B22" s="4">
        <v>0.0</v>
      </c>
      <c r="C22" s="4">
        <v>0.0</v>
      </c>
      <c r="D22" s="4">
        <v>100.0</v>
      </c>
      <c r="E22" s="4">
        <v>0.0</v>
      </c>
      <c r="F22" s="4">
        <v>0.0</v>
      </c>
      <c r="G22" s="4">
        <v>497.0</v>
      </c>
      <c r="H22" s="4">
        <v>306.0</v>
      </c>
      <c r="I22" s="4">
        <v>0.0</v>
      </c>
      <c r="J22" s="4">
        <v>0.0</v>
      </c>
      <c r="K22" s="4">
        <v>600.0</v>
      </c>
      <c r="L22" s="4">
        <v>40.0</v>
      </c>
      <c r="M22" s="4">
        <v>40.0</v>
      </c>
      <c r="N22" s="4">
        <v>0.0</v>
      </c>
      <c r="O22" s="4">
        <v>0.0</v>
      </c>
    </row>
    <row r="23" ht="15.75" customHeight="1">
      <c r="A23" s="4" t="s">
        <v>307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510.0</v>
      </c>
      <c r="I23" s="4">
        <v>500.0</v>
      </c>
      <c r="J23" s="4">
        <v>500.0</v>
      </c>
      <c r="K23" s="4">
        <v>500.0</v>
      </c>
      <c r="L23" s="4">
        <v>40.0</v>
      </c>
      <c r="M23" s="4">
        <v>40.0</v>
      </c>
      <c r="N23" s="4">
        <v>0.0</v>
      </c>
      <c r="O23" s="4">
        <v>5.0</v>
      </c>
    </row>
    <row r="24" ht="15.75" customHeight="1">
      <c r="A24" s="4" t="s">
        <v>309</v>
      </c>
      <c r="B24" s="4">
        <v>0.0</v>
      </c>
      <c r="C24" s="4">
        <v>0.0</v>
      </c>
      <c r="D24" s="4">
        <v>100.0</v>
      </c>
      <c r="E24" s="4">
        <v>0.0</v>
      </c>
      <c r="F24" s="4">
        <v>0.0</v>
      </c>
      <c r="G24" s="4">
        <v>0.0</v>
      </c>
      <c r="H24" s="4">
        <v>969.0</v>
      </c>
      <c r="I24" s="4">
        <v>0.0</v>
      </c>
      <c r="J24" s="4">
        <v>500.0</v>
      </c>
      <c r="K24" s="4">
        <v>500.0</v>
      </c>
      <c r="L24" s="4">
        <v>40.0</v>
      </c>
      <c r="M24" s="4">
        <v>0.0</v>
      </c>
      <c r="N24" s="4">
        <v>0.0</v>
      </c>
      <c r="O24" s="4">
        <v>8.0</v>
      </c>
    </row>
    <row r="25" ht="15.75" customHeight="1">
      <c r="A25" s="4" t="s">
        <v>311</v>
      </c>
      <c r="B25" s="4">
        <v>100.0</v>
      </c>
      <c r="C25" s="4">
        <v>200.0</v>
      </c>
      <c r="D25" s="4">
        <v>100.0</v>
      </c>
      <c r="E25" s="4">
        <v>0.0</v>
      </c>
      <c r="F25" s="4">
        <v>0.0</v>
      </c>
      <c r="G25" s="4">
        <v>355.0</v>
      </c>
      <c r="H25" s="4">
        <v>306.0</v>
      </c>
      <c r="I25" s="4">
        <v>0.0</v>
      </c>
      <c r="J25" s="4">
        <v>500.0</v>
      </c>
      <c r="K25" s="4">
        <v>500.0</v>
      </c>
      <c r="L25" s="4">
        <v>0.0</v>
      </c>
      <c r="M25" s="4">
        <v>0.0</v>
      </c>
      <c r="N25" s="4">
        <v>0.0</v>
      </c>
      <c r="O25" s="4">
        <v>0.0</v>
      </c>
    </row>
    <row r="26" ht="15.75" customHeight="1">
      <c r="A26" s="4" t="s">
        <v>313</v>
      </c>
      <c r="B26" s="4">
        <v>100.0</v>
      </c>
      <c r="C26" s="4">
        <v>100.0</v>
      </c>
      <c r="D26" s="4">
        <v>0.0</v>
      </c>
      <c r="E26" s="4">
        <v>0.0</v>
      </c>
      <c r="F26" s="4">
        <v>0.0</v>
      </c>
      <c r="G26" s="4">
        <v>355.0</v>
      </c>
      <c r="H26" s="4">
        <v>306.0</v>
      </c>
      <c r="I26" s="4">
        <v>0.0</v>
      </c>
      <c r="J26" s="4">
        <v>500.0</v>
      </c>
      <c r="K26" s="4">
        <v>0.0</v>
      </c>
      <c r="L26" s="4">
        <v>0.0</v>
      </c>
      <c r="M26" s="4">
        <v>40.0</v>
      </c>
      <c r="N26" s="4">
        <v>0.0</v>
      </c>
      <c r="O26" s="4">
        <v>0.0</v>
      </c>
    </row>
    <row r="27" ht="15.75" customHeight="1">
      <c r="A27" s="4" t="s">
        <v>315</v>
      </c>
      <c r="B27" s="4">
        <v>100.0</v>
      </c>
      <c r="C27" s="4">
        <v>0.0</v>
      </c>
      <c r="D27" s="4">
        <v>100.0</v>
      </c>
      <c r="E27" s="4">
        <v>0.0</v>
      </c>
      <c r="F27" s="4">
        <v>184.0</v>
      </c>
      <c r="G27" s="4">
        <v>0.0</v>
      </c>
      <c r="H27" s="4">
        <v>0.0</v>
      </c>
      <c r="I27" s="4">
        <v>300.0</v>
      </c>
      <c r="J27" s="4">
        <v>300.0</v>
      </c>
      <c r="K27" s="4">
        <v>300.0</v>
      </c>
      <c r="L27" s="4">
        <v>0.0</v>
      </c>
      <c r="M27" s="4">
        <v>40.0</v>
      </c>
      <c r="N27" s="4">
        <v>20.0</v>
      </c>
      <c r="O27" s="4">
        <v>0.0</v>
      </c>
    </row>
    <row r="28" ht="15.75" customHeight="1">
      <c r="A28" s="4" t="s">
        <v>317</v>
      </c>
      <c r="B28" s="4">
        <v>100.0</v>
      </c>
      <c r="C28" s="4">
        <v>100.0</v>
      </c>
      <c r="D28" s="4">
        <v>0.0</v>
      </c>
      <c r="E28" s="4">
        <v>100.0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40.0</v>
      </c>
      <c r="M28" s="4">
        <v>40.0</v>
      </c>
      <c r="N28" s="4">
        <v>0.0</v>
      </c>
      <c r="O28" s="4">
        <v>10.0</v>
      </c>
    </row>
    <row r="29" ht="15.75" customHeight="1">
      <c r="A29" s="5"/>
      <c r="B29" s="5"/>
      <c r="C29" s="5"/>
      <c r="D29" s="5"/>
      <c r="E29" s="5"/>
      <c r="F29" s="5"/>
      <c r="I29" s="5"/>
      <c r="J29" s="5"/>
      <c r="K29" s="5"/>
    </row>
    <row r="30" ht="15.75" customHeight="1">
      <c r="A30" s="5"/>
      <c r="B30" s="5"/>
      <c r="C30" s="5"/>
      <c r="D30" s="5"/>
      <c r="E30" s="5"/>
      <c r="F30" s="5"/>
      <c r="I30" s="5"/>
      <c r="J30" s="5"/>
      <c r="K30" s="5"/>
    </row>
    <row r="31" ht="15.75" customHeight="1">
      <c r="A31" s="5"/>
      <c r="B31" s="5"/>
      <c r="C31" s="5"/>
      <c r="D31" s="5"/>
      <c r="E31" s="5"/>
      <c r="F31" s="5"/>
      <c r="I31" s="5"/>
      <c r="J31" s="5"/>
      <c r="K31" s="5"/>
    </row>
    <row r="32" ht="15.75" customHeight="1">
      <c r="A32" s="5"/>
      <c r="B32" s="5"/>
      <c r="C32" s="5"/>
      <c r="D32" s="5"/>
      <c r="E32" s="5"/>
      <c r="F32" s="5"/>
      <c r="I32" s="5"/>
      <c r="J32" s="5"/>
      <c r="K32" s="5"/>
    </row>
    <row r="33" ht="15.75" customHeight="1">
      <c r="A33" s="5"/>
      <c r="B33" s="5"/>
      <c r="C33" s="5"/>
      <c r="D33" s="5"/>
      <c r="E33" s="5"/>
      <c r="F33" s="5"/>
      <c r="I33" s="5"/>
      <c r="J33" s="5"/>
      <c r="K33" s="5"/>
    </row>
    <row r="34" ht="15.75" customHeight="1">
      <c r="A34" s="5"/>
      <c r="B34" s="5"/>
      <c r="C34" s="5"/>
      <c r="D34" s="5"/>
      <c r="E34" s="5"/>
      <c r="F34" s="5"/>
      <c r="I34" s="5"/>
      <c r="J34" s="5"/>
      <c r="K34" s="5"/>
    </row>
    <row r="35" ht="15.75" customHeight="1">
      <c r="A35" s="5"/>
      <c r="B35" s="5"/>
      <c r="C35" s="5"/>
      <c r="D35" s="5"/>
      <c r="E35" s="5"/>
      <c r="F35" s="5"/>
      <c r="I35" s="5"/>
      <c r="J35" s="5"/>
      <c r="K35" s="5"/>
    </row>
    <row r="36" ht="15.75" customHeight="1">
      <c r="A36" s="5"/>
      <c r="B36" s="5"/>
      <c r="C36" s="5"/>
      <c r="D36" s="5"/>
      <c r="E36" s="5"/>
      <c r="F36" s="5"/>
      <c r="I36" s="5"/>
      <c r="J36" s="5"/>
      <c r="K36" s="5"/>
    </row>
    <row r="37" ht="15.75" customHeight="1">
      <c r="A37" s="5"/>
      <c r="B37" s="5"/>
      <c r="C37" s="5"/>
      <c r="D37" s="5"/>
      <c r="E37" s="5"/>
      <c r="F37" s="5"/>
      <c r="I37" s="5"/>
      <c r="J37" s="5"/>
      <c r="K37" s="5"/>
    </row>
    <row r="38" ht="15.75" customHeight="1">
      <c r="A38" s="5"/>
      <c r="B38" s="5"/>
      <c r="C38" s="5"/>
      <c r="D38" s="5"/>
      <c r="E38" s="5"/>
      <c r="F38" s="5"/>
      <c r="I38" s="5"/>
      <c r="J38" s="5"/>
      <c r="K38" s="5"/>
    </row>
    <row r="39" ht="15.75" customHeight="1">
      <c r="A39" s="5"/>
      <c r="B39" s="5"/>
      <c r="C39" s="5"/>
      <c r="D39" s="5"/>
      <c r="E39" s="5"/>
      <c r="F39" s="5"/>
      <c r="I39" s="5"/>
      <c r="J39" s="5"/>
      <c r="K39" s="5"/>
    </row>
    <row r="40" ht="15.75" customHeight="1">
      <c r="A40" s="5"/>
      <c r="B40" s="5"/>
      <c r="C40" s="5"/>
      <c r="D40" s="5"/>
      <c r="E40" s="5"/>
      <c r="F40" s="5"/>
      <c r="I40" s="5"/>
      <c r="J40" s="5"/>
      <c r="K40" s="5"/>
    </row>
    <row r="41" ht="15.75" customHeight="1">
      <c r="A41" s="5"/>
      <c r="B41" s="5"/>
      <c r="C41" s="5"/>
      <c r="D41" s="5"/>
      <c r="E41" s="5"/>
      <c r="F41" s="5"/>
      <c r="I41" s="5"/>
      <c r="J41" s="5"/>
      <c r="K41" s="5"/>
    </row>
    <row r="42" ht="15.75" customHeight="1">
      <c r="A42" s="5"/>
      <c r="B42" s="5"/>
      <c r="C42" s="5"/>
      <c r="D42" s="5"/>
      <c r="E42" s="5"/>
      <c r="F42" s="5"/>
      <c r="I42" s="5"/>
      <c r="J42" s="5"/>
      <c r="K42" s="5"/>
    </row>
    <row r="43" ht="15.75" customHeight="1">
      <c r="A43" s="5"/>
      <c r="B43" s="5"/>
      <c r="C43" s="5"/>
      <c r="D43" s="5"/>
      <c r="E43" s="5"/>
      <c r="F43" s="5"/>
      <c r="I43" s="5"/>
      <c r="J43" s="5"/>
      <c r="K43" s="5"/>
    </row>
    <row r="44" ht="15.75" customHeight="1">
      <c r="A44" s="5"/>
      <c r="B44" s="5"/>
      <c r="C44" s="5"/>
      <c r="D44" s="5"/>
      <c r="E44" s="5"/>
      <c r="F44" s="5"/>
      <c r="I44" s="5"/>
      <c r="J44" s="5"/>
      <c r="K44" s="5"/>
    </row>
    <row r="45" ht="15.75" customHeight="1">
      <c r="A45" s="5"/>
      <c r="B45" s="5"/>
      <c r="C45" s="5"/>
      <c r="D45" s="5"/>
      <c r="E45" s="5"/>
      <c r="F45" s="5"/>
      <c r="I45" s="5"/>
      <c r="J45" s="5"/>
      <c r="K45" s="5"/>
    </row>
    <row r="46" ht="15.75" customHeight="1">
      <c r="A46" s="5"/>
      <c r="B46" s="5"/>
      <c r="C46" s="5"/>
      <c r="D46" s="5"/>
      <c r="E46" s="5"/>
      <c r="F46" s="5"/>
      <c r="I46" s="5"/>
      <c r="J46" s="5"/>
      <c r="K46" s="5"/>
    </row>
    <row r="47" ht="15.75" customHeight="1">
      <c r="A47" s="5"/>
      <c r="B47" s="5"/>
      <c r="C47" s="5"/>
      <c r="D47" s="5"/>
      <c r="E47" s="5"/>
      <c r="F47" s="5"/>
      <c r="I47" s="5"/>
      <c r="J47" s="5"/>
      <c r="K47" s="5"/>
    </row>
    <row r="48" ht="15.75" customHeight="1">
      <c r="A48" s="5"/>
      <c r="B48" s="5"/>
      <c r="C48" s="5"/>
      <c r="D48" s="5"/>
      <c r="E48" s="5"/>
      <c r="F48" s="5"/>
      <c r="I48" s="5"/>
      <c r="J48" s="5"/>
      <c r="K48" s="5"/>
    </row>
    <row r="49" ht="15.75" customHeight="1">
      <c r="A49" s="5"/>
      <c r="B49" s="5"/>
      <c r="C49" s="5"/>
      <c r="D49" s="5"/>
      <c r="E49" s="5"/>
      <c r="F49" s="5"/>
      <c r="I49" s="5"/>
      <c r="J49" s="5"/>
      <c r="K49" s="5"/>
    </row>
    <row r="50" ht="15.75" customHeight="1">
      <c r="A50" s="5"/>
      <c r="B50" s="5"/>
      <c r="C50" s="5"/>
      <c r="D50" s="5"/>
      <c r="E50" s="5"/>
      <c r="F50" s="5"/>
      <c r="I50" s="5"/>
      <c r="J50" s="5"/>
      <c r="K50" s="5"/>
    </row>
    <row r="51" ht="15.75" customHeight="1">
      <c r="A51" s="5"/>
      <c r="B51" s="5"/>
      <c r="C51" s="5"/>
      <c r="D51" s="5"/>
      <c r="E51" s="5"/>
      <c r="F51" s="5"/>
      <c r="I51" s="5"/>
      <c r="J51" s="5"/>
      <c r="K51" s="5"/>
    </row>
    <row r="52" ht="15.75" customHeight="1">
      <c r="A52" s="5"/>
      <c r="B52" s="5"/>
      <c r="C52" s="5"/>
      <c r="D52" s="5"/>
      <c r="E52" s="5"/>
      <c r="F52" s="5"/>
      <c r="I52" s="5"/>
      <c r="J52" s="5"/>
      <c r="K52" s="5"/>
    </row>
    <row r="53" ht="15.75" customHeight="1">
      <c r="A53" s="5"/>
      <c r="B53" s="5"/>
      <c r="C53" s="5"/>
      <c r="D53" s="5"/>
      <c r="E53" s="5"/>
      <c r="F53" s="5"/>
      <c r="I53" s="5"/>
      <c r="J53" s="5"/>
      <c r="K53" s="5"/>
    </row>
    <row r="54" ht="15.75" customHeight="1">
      <c r="A54" s="5"/>
      <c r="B54" s="5"/>
      <c r="C54" s="5"/>
      <c r="D54" s="5"/>
      <c r="E54" s="5"/>
      <c r="F54" s="5"/>
      <c r="I54" s="5"/>
      <c r="J54" s="5"/>
      <c r="K54" s="5"/>
    </row>
    <row r="55" ht="15.75" customHeight="1">
      <c r="A55" s="5"/>
      <c r="B55" s="5"/>
      <c r="C55" s="5"/>
      <c r="D55" s="5"/>
      <c r="E55" s="5"/>
      <c r="F55" s="5"/>
      <c r="I55" s="5"/>
      <c r="J55" s="5"/>
      <c r="K55" s="5"/>
    </row>
    <row r="56" ht="15.75" customHeight="1">
      <c r="A56" s="5"/>
      <c r="B56" s="5"/>
      <c r="C56" s="5"/>
      <c r="D56" s="5"/>
      <c r="E56" s="5"/>
      <c r="F56" s="5"/>
      <c r="I56" s="5"/>
      <c r="J56" s="5"/>
      <c r="K56" s="5"/>
    </row>
    <row r="57" ht="15.75" customHeight="1">
      <c r="A57" s="5"/>
      <c r="B57" s="5"/>
      <c r="C57" s="5"/>
      <c r="D57" s="5"/>
      <c r="E57" s="5"/>
      <c r="F57" s="5"/>
      <c r="I57" s="5"/>
      <c r="J57" s="5"/>
      <c r="K57" s="5"/>
    </row>
    <row r="58" ht="15.75" customHeight="1">
      <c r="A58" s="5"/>
      <c r="B58" s="5"/>
      <c r="C58" s="5"/>
      <c r="D58" s="5"/>
      <c r="E58" s="5"/>
      <c r="F58" s="5"/>
      <c r="I58" s="5"/>
      <c r="J58" s="5"/>
      <c r="K58" s="5"/>
    </row>
    <row r="59" ht="15.75" customHeight="1">
      <c r="A59" s="5"/>
      <c r="B59" s="5"/>
      <c r="C59" s="5"/>
      <c r="D59" s="5"/>
      <c r="E59" s="5"/>
      <c r="F59" s="5"/>
      <c r="I59" s="5"/>
      <c r="J59" s="5"/>
      <c r="K59" s="5"/>
    </row>
    <row r="60" ht="15.75" customHeight="1">
      <c r="A60" s="5"/>
      <c r="B60" s="5"/>
      <c r="C60" s="5"/>
      <c r="D60" s="5"/>
      <c r="E60" s="5"/>
      <c r="F60" s="5"/>
      <c r="I60" s="5"/>
      <c r="J60" s="5"/>
      <c r="K60" s="5"/>
    </row>
    <row r="61" ht="15.75" customHeight="1">
      <c r="A61" s="5"/>
      <c r="B61" s="5"/>
      <c r="C61" s="5"/>
      <c r="D61" s="5"/>
      <c r="E61" s="5"/>
      <c r="F61" s="5"/>
      <c r="I61" s="5"/>
      <c r="J61" s="5"/>
      <c r="K61" s="5"/>
    </row>
    <row r="62" ht="15.75" customHeight="1">
      <c r="A62" s="5"/>
      <c r="B62" s="5"/>
      <c r="C62" s="5"/>
      <c r="D62" s="5"/>
      <c r="E62" s="5"/>
      <c r="F62" s="5"/>
      <c r="I62" s="5"/>
      <c r="J62" s="5"/>
      <c r="K62" s="5"/>
    </row>
    <row r="63" ht="15.75" customHeight="1">
      <c r="A63" s="5"/>
      <c r="B63" s="5"/>
      <c r="C63" s="5"/>
      <c r="D63" s="5"/>
      <c r="E63" s="5"/>
      <c r="F63" s="5"/>
      <c r="I63" s="5"/>
      <c r="J63" s="5"/>
      <c r="K63" s="5"/>
    </row>
    <row r="64" ht="15.75" customHeight="1">
      <c r="A64" s="5"/>
      <c r="B64" s="5"/>
      <c r="C64" s="5"/>
      <c r="D64" s="5"/>
      <c r="E64" s="5"/>
      <c r="F64" s="5"/>
      <c r="I64" s="5"/>
      <c r="J64" s="5"/>
      <c r="K64" s="5"/>
    </row>
    <row r="65" ht="15.75" customHeight="1">
      <c r="A65" s="5"/>
      <c r="B65" s="5"/>
      <c r="C65" s="5"/>
      <c r="D65" s="5"/>
      <c r="E65" s="5"/>
      <c r="F65" s="5"/>
      <c r="I65" s="5"/>
      <c r="J65" s="5"/>
      <c r="K65" s="5"/>
    </row>
    <row r="66" ht="15.75" customHeight="1">
      <c r="A66" s="5"/>
      <c r="B66" s="5"/>
      <c r="C66" s="5"/>
      <c r="D66" s="5"/>
      <c r="E66" s="5"/>
      <c r="F66" s="5"/>
      <c r="I66" s="5"/>
      <c r="J66" s="5"/>
      <c r="K66" s="5"/>
    </row>
    <row r="67" ht="15.75" customHeight="1">
      <c r="A67" s="5"/>
      <c r="B67" s="5"/>
      <c r="C67" s="5"/>
      <c r="D67" s="5"/>
      <c r="E67" s="5"/>
      <c r="F67" s="5"/>
      <c r="I67" s="5"/>
      <c r="J67" s="5"/>
      <c r="K67" s="5"/>
    </row>
    <row r="68" ht="15.75" customHeight="1">
      <c r="A68" s="5"/>
      <c r="B68" s="5"/>
      <c r="C68" s="5"/>
      <c r="D68" s="5"/>
      <c r="E68" s="5"/>
      <c r="F68" s="5"/>
      <c r="I68" s="5"/>
      <c r="J68" s="5"/>
      <c r="K68" s="5"/>
    </row>
    <row r="69" ht="15.75" customHeight="1">
      <c r="A69" s="5"/>
      <c r="B69" s="5"/>
      <c r="C69" s="5"/>
      <c r="D69" s="5"/>
      <c r="E69" s="5"/>
      <c r="F69" s="5"/>
      <c r="I69" s="5"/>
      <c r="J69" s="5"/>
      <c r="K69" s="5"/>
    </row>
    <row r="70" ht="15.75" customHeight="1">
      <c r="A70" s="5"/>
      <c r="B70" s="5"/>
      <c r="C70" s="5"/>
      <c r="D70" s="5"/>
      <c r="E70" s="5"/>
      <c r="F70" s="5"/>
      <c r="I70" s="5"/>
      <c r="J70" s="5"/>
      <c r="K70" s="5"/>
    </row>
    <row r="71" ht="15.75" customHeight="1">
      <c r="A71" s="5"/>
      <c r="B71" s="5"/>
      <c r="C71" s="5"/>
      <c r="D71" s="5"/>
      <c r="E71" s="5"/>
      <c r="F71" s="5"/>
      <c r="I71" s="5"/>
      <c r="J71" s="5"/>
      <c r="K71" s="5"/>
    </row>
    <row r="72" ht="15.75" customHeight="1">
      <c r="A72" s="5"/>
      <c r="B72" s="5"/>
      <c r="C72" s="5"/>
      <c r="D72" s="5"/>
      <c r="E72" s="5"/>
      <c r="F72" s="5"/>
      <c r="I72" s="5"/>
      <c r="J72" s="5"/>
      <c r="K72" s="5"/>
    </row>
    <row r="73" ht="15.75" customHeight="1">
      <c r="A73" s="5"/>
      <c r="B73" s="5"/>
      <c r="C73" s="5"/>
      <c r="D73" s="5"/>
      <c r="E73" s="5"/>
      <c r="F73" s="5"/>
      <c r="I73" s="5"/>
      <c r="J73" s="5"/>
      <c r="K73" s="5"/>
    </row>
    <row r="74" ht="15.75" customHeight="1">
      <c r="A74" s="5"/>
      <c r="B74" s="5"/>
      <c r="C74" s="5"/>
      <c r="D74" s="5"/>
      <c r="E74" s="5"/>
      <c r="F74" s="5"/>
      <c r="I74" s="5"/>
      <c r="J74" s="5"/>
      <c r="K74" s="5"/>
    </row>
    <row r="75" ht="15.75" customHeight="1">
      <c r="A75" s="5"/>
      <c r="B75" s="5"/>
      <c r="C75" s="5"/>
      <c r="D75" s="5"/>
      <c r="E75" s="5"/>
      <c r="F75" s="5"/>
      <c r="I75" s="5"/>
      <c r="J75" s="5"/>
      <c r="K75" s="5"/>
    </row>
    <row r="76" ht="15.75" customHeight="1">
      <c r="A76" s="5"/>
      <c r="B76" s="5"/>
      <c r="C76" s="5"/>
      <c r="D76" s="5"/>
      <c r="E76" s="5"/>
      <c r="F76" s="5"/>
      <c r="I76" s="5"/>
      <c r="J76" s="5"/>
      <c r="K76" s="5"/>
    </row>
    <row r="77" ht="15.75" customHeight="1">
      <c r="A77" s="5"/>
      <c r="B77" s="5"/>
      <c r="C77" s="5"/>
      <c r="D77" s="5"/>
      <c r="E77" s="5"/>
      <c r="F77" s="5"/>
      <c r="I77" s="5"/>
      <c r="J77" s="5"/>
      <c r="K77" s="5"/>
    </row>
    <row r="78" ht="15.75" customHeight="1">
      <c r="A78" s="5"/>
      <c r="B78" s="5"/>
      <c r="C78" s="5"/>
      <c r="D78" s="5"/>
      <c r="E78" s="5"/>
      <c r="F78" s="5"/>
      <c r="I78" s="5"/>
      <c r="J78" s="5"/>
      <c r="K78" s="5"/>
    </row>
    <row r="79" ht="15.75" customHeight="1">
      <c r="A79" s="5"/>
      <c r="B79" s="5"/>
      <c r="C79" s="5"/>
      <c r="D79" s="5"/>
      <c r="E79" s="5"/>
      <c r="F79" s="5"/>
      <c r="I79" s="5"/>
      <c r="J79" s="5"/>
      <c r="K79" s="5"/>
    </row>
    <row r="80" ht="15.75" customHeight="1">
      <c r="A80" s="5"/>
      <c r="B80" s="5"/>
      <c r="C80" s="5"/>
      <c r="D80" s="5"/>
      <c r="E80" s="5"/>
      <c r="F80" s="5"/>
      <c r="I80" s="5"/>
      <c r="J80" s="5"/>
      <c r="K80" s="5"/>
    </row>
    <row r="81" ht="15.75" customHeight="1">
      <c r="A81" s="5"/>
      <c r="B81" s="5"/>
      <c r="C81" s="5"/>
      <c r="D81" s="5"/>
      <c r="E81" s="5"/>
      <c r="F81" s="5"/>
      <c r="I81" s="5"/>
      <c r="J81" s="5"/>
      <c r="K81" s="5"/>
    </row>
    <row r="82" ht="15.75" customHeight="1">
      <c r="A82" s="5"/>
      <c r="B82" s="5"/>
      <c r="C82" s="5"/>
      <c r="D82" s="5"/>
      <c r="E82" s="5"/>
      <c r="F82" s="5"/>
      <c r="I82" s="5"/>
      <c r="J82" s="5"/>
      <c r="K82" s="5"/>
    </row>
    <row r="83" ht="15.75" customHeight="1">
      <c r="A83" s="5"/>
      <c r="B83" s="5"/>
      <c r="C83" s="5"/>
      <c r="D83" s="5"/>
      <c r="E83" s="5"/>
      <c r="F83" s="5"/>
      <c r="I83" s="5"/>
      <c r="J83" s="5"/>
      <c r="K83" s="5"/>
    </row>
    <row r="84" ht="15.75" customHeight="1">
      <c r="A84" s="5"/>
      <c r="B84" s="5"/>
      <c r="C84" s="5"/>
      <c r="D84" s="5"/>
      <c r="E84" s="5"/>
      <c r="F84" s="5"/>
      <c r="I84" s="5"/>
      <c r="J84" s="5"/>
      <c r="K84" s="5"/>
    </row>
    <row r="85" ht="15.75" customHeight="1">
      <c r="A85" s="5"/>
      <c r="B85" s="5"/>
      <c r="C85" s="5"/>
      <c r="D85" s="5"/>
      <c r="E85" s="5"/>
      <c r="F85" s="5"/>
      <c r="I85" s="5"/>
      <c r="J85" s="5"/>
      <c r="K85" s="5"/>
    </row>
    <row r="86" ht="15.75" customHeight="1">
      <c r="A86" s="5"/>
      <c r="B86" s="5"/>
      <c r="C86" s="5"/>
      <c r="D86" s="5"/>
      <c r="E86" s="5"/>
      <c r="F86" s="5"/>
      <c r="I86" s="5"/>
      <c r="J86" s="5"/>
      <c r="K86" s="5"/>
    </row>
    <row r="87" ht="15.75" customHeight="1">
      <c r="A87" s="5"/>
      <c r="B87" s="5"/>
      <c r="C87" s="5"/>
      <c r="D87" s="5"/>
      <c r="E87" s="5"/>
      <c r="F87" s="5"/>
      <c r="I87" s="5"/>
      <c r="J87" s="5"/>
      <c r="K87" s="5"/>
    </row>
    <row r="88" ht="15.75" customHeight="1">
      <c r="A88" s="5"/>
      <c r="B88" s="5"/>
      <c r="C88" s="5"/>
      <c r="D88" s="5"/>
      <c r="E88" s="5"/>
      <c r="F88" s="5"/>
      <c r="I88" s="5"/>
      <c r="J88" s="5"/>
      <c r="K88" s="5"/>
    </row>
    <row r="89" ht="15.75" customHeight="1">
      <c r="A89" s="5"/>
      <c r="B89" s="5"/>
      <c r="C89" s="5"/>
      <c r="D89" s="5"/>
      <c r="E89" s="5"/>
      <c r="F89" s="5"/>
      <c r="I89" s="5"/>
      <c r="J89" s="5"/>
      <c r="K89" s="5"/>
    </row>
    <row r="90" ht="15.75" customHeight="1">
      <c r="A90" s="5"/>
      <c r="B90" s="5"/>
      <c r="C90" s="5"/>
      <c r="D90" s="5"/>
      <c r="E90" s="5"/>
      <c r="F90" s="5"/>
      <c r="I90" s="5"/>
      <c r="J90" s="5"/>
      <c r="K90" s="5"/>
    </row>
    <row r="91" ht="15.75" customHeight="1">
      <c r="A91" s="5"/>
      <c r="B91" s="5"/>
      <c r="C91" s="5"/>
      <c r="D91" s="5"/>
      <c r="E91" s="5"/>
      <c r="F91" s="5"/>
      <c r="I91" s="5"/>
      <c r="J91" s="5"/>
      <c r="K91" s="5"/>
    </row>
    <row r="92" ht="15.75" customHeight="1">
      <c r="A92" s="5"/>
      <c r="B92" s="5"/>
      <c r="C92" s="5"/>
      <c r="D92" s="5"/>
      <c r="E92" s="5"/>
      <c r="F92" s="5"/>
      <c r="I92" s="5"/>
      <c r="J92" s="5"/>
      <c r="K92" s="5"/>
    </row>
    <row r="93" ht="15.75" customHeight="1">
      <c r="A93" s="5"/>
      <c r="B93" s="5"/>
      <c r="C93" s="5"/>
      <c r="D93" s="5"/>
      <c r="E93" s="5"/>
      <c r="F93" s="5"/>
      <c r="I93" s="5"/>
      <c r="J93" s="5"/>
      <c r="K93" s="5"/>
    </row>
    <row r="94" ht="15.75" customHeight="1">
      <c r="A94" s="5"/>
      <c r="B94" s="5"/>
      <c r="C94" s="5"/>
      <c r="D94" s="5"/>
      <c r="E94" s="5"/>
      <c r="F94" s="5"/>
      <c r="I94" s="5"/>
      <c r="J94" s="5"/>
      <c r="K94" s="5"/>
    </row>
    <row r="95" ht="15.75" customHeight="1">
      <c r="A95" s="5"/>
      <c r="B95" s="5"/>
      <c r="C95" s="5"/>
      <c r="D95" s="5"/>
      <c r="E95" s="5"/>
      <c r="F95" s="5"/>
      <c r="I95" s="5"/>
      <c r="J95" s="5"/>
      <c r="K95" s="5"/>
    </row>
    <row r="96" ht="15.75" customHeight="1">
      <c r="A96" s="5"/>
      <c r="B96" s="5"/>
      <c r="C96" s="5"/>
      <c r="D96" s="5"/>
      <c r="E96" s="5"/>
      <c r="F96" s="5"/>
      <c r="I96" s="5"/>
      <c r="J96" s="5"/>
      <c r="K96" s="5"/>
    </row>
    <row r="97" ht="15.75" customHeight="1">
      <c r="A97" s="5"/>
      <c r="B97" s="5"/>
      <c r="C97" s="5"/>
      <c r="D97" s="5"/>
      <c r="E97" s="5"/>
      <c r="F97" s="5"/>
      <c r="I97" s="5"/>
      <c r="J97" s="5"/>
      <c r="K97" s="5"/>
    </row>
    <row r="98" ht="15.75" customHeight="1">
      <c r="A98" s="5"/>
      <c r="B98" s="5"/>
      <c r="C98" s="5"/>
      <c r="D98" s="5"/>
      <c r="E98" s="5"/>
      <c r="F98" s="5"/>
      <c r="I98" s="5"/>
      <c r="J98" s="5"/>
      <c r="K98" s="5"/>
    </row>
    <row r="99" ht="15.75" customHeight="1">
      <c r="A99" s="5"/>
      <c r="B99" s="5"/>
      <c r="C99" s="5"/>
      <c r="D99" s="5"/>
      <c r="E99" s="5"/>
      <c r="F99" s="5"/>
      <c r="I99" s="5"/>
      <c r="J99" s="5"/>
      <c r="K99" s="5"/>
    </row>
    <row r="100" ht="15.75" customHeight="1">
      <c r="A100" s="5"/>
      <c r="B100" s="5"/>
      <c r="C100" s="5"/>
      <c r="D100" s="5"/>
      <c r="E100" s="5"/>
      <c r="F100" s="5"/>
      <c r="I100" s="5"/>
      <c r="J100" s="5"/>
      <c r="K100" s="5"/>
    </row>
    <row r="101" ht="15.75" customHeight="1">
      <c r="A101" s="5"/>
      <c r="B101" s="5"/>
      <c r="C101" s="5"/>
      <c r="D101" s="5"/>
      <c r="E101" s="5"/>
      <c r="F101" s="5"/>
      <c r="I101" s="5"/>
      <c r="J101" s="5"/>
      <c r="K101" s="5"/>
    </row>
    <row r="102" ht="15.75" customHeight="1">
      <c r="A102" s="5"/>
      <c r="B102" s="5"/>
      <c r="C102" s="5"/>
      <c r="D102" s="5"/>
      <c r="E102" s="5"/>
      <c r="F102" s="5"/>
      <c r="I102" s="5"/>
      <c r="J102" s="5"/>
      <c r="K102" s="5"/>
    </row>
    <row r="103" ht="15.75" customHeight="1">
      <c r="A103" s="5"/>
      <c r="B103" s="5"/>
      <c r="C103" s="5"/>
      <c r="D103" s="5"/>
      <c r="E103" s="5"/>
      <c r="F103" s="5"/>
      <c r="I103" s="5"/>
      <c r="J103" s="5"/>
      <c r="K103" s="5"/>
    </row>
    <row r="104" ht="15.75" customHeight="1">
      <c r="A104" s="5"/>
      <c r="B104" s="5"/>
      <c r="C104" s="5"/>
      <c r="D104" s="5"/>
      <c r="E104" s="5"/>
      <c r="F104" s="5"/>
      <c r="I104" s="5"/>
      <c r="J104" s="5"/>
      <c r="K104" s="5"/>
    </row>
    <row r="105" ht="15.75" customHeight="1">
      <c r="A105" s="5"/>
      <c r="B105" s="5"/>
      <c r="C105" s="5"/>
      <c r="D105" s="5"/>
      <c r="E105" s="5"/>
      <c r="F105" s="5"/>
      <c r="I105" s="5"/>
      <c r="J105" s="5"/>
      <c r="K105" s="5"/>
    </row>
    <row r="106" ht="15.75" customHeight="1">
      <c r="A106" s="5"/>
      <c r="B106" s="5"/>
      <c r="C106" s="5"/>
      <c r="D106" s="5"/>
      <c r="E106" s="5"/>
      <c r="F106" s="5"/>
      <c r="I106" s="5"/>
      <c r="J106" s="5"/>
      <c r="K106" s="5"/>
    </row>
    <row r="107" ht="15.75" customHeight="1">
      <c r="A107" s="5"/>
      <c r="B107" s="5"/>
      <c r="C107" s="5"/>
      <c r="D107" s="5"/>
      <c r="E107" s="5"/>
      <c r="F107" s="5"/>
      <c r="I107" s="5"/>
      <c r="J107" s="5"/>
      <c r="K107" s="5"/>
    </row>
    <row r="108" ht="15.75" customHeight="1">
      <c r="A108" s="5"/>
      <c r="B108" s="5"/>
      <c r="C108" s="5"/>
      <c r="D108" s="5"/>
      <c r="E108" s="5"/>
      <c r="F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I228" s="5"/>
      <c r="J228" s="5"/>
      <c r="K228" s="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F1:H1"/>
    <mergeCell ref="I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2.0"/>
    <col customWidth="1" min="3" max="3" width="13.25"/>
    <col customWidth="1" min="4" max="4" width="12.88"/>
    <col customWidth="1" min="5" max="6" width="15.75"/>
    <col customWidth="1" min="7" max="7" width="15.13"/>
    <col customWidth="1" min="8" max="9" width="11.13"/>
    <col customWidth="1" min="10" max="10" width="10.88"/>
    <col customWidth="1" min="11" max="12" width="12.13"/>
    <col customWidth="1" min="13" max="13" width="13.25"/>
    <col customWidth="1" min="14" max="14" width="15.25"/>
    <col customWidth="1" min="15" max="15" width="17.75"/>
    <col customWidth="1" min="16" max="16" width="12.13"/>
    <col customWidth="1" min="17" max="17" width="11.5"/>
    <col customWidth="1" min="18" max="18" width="14.75"/>
    <col customWidth="1" min="19" max="19" width="12.25"/>
    <col customWidth="1" min="31" max="31" width="13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7"/>
      <c r="N2" s="5"/>
      <c r="O2" s="5"/>
      <c r="P2" s="5"/>
      <c r="Q2" s="5"/>
      <c r="R2" s="5"/>
      <c r="S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2.5" customHeight="1">
      <c r="A4" s="68" t="s">
        <v>1</v>
      </c>
      <c r="B4" s="68" t="s">
        <v>321</v>
      </c>
      <c r="C4" s="68" t="s">
        <v>247</v>
      </c>
      <c r="D4" s="68" t="s">
        <v>322</v>
      </c>
      <c r="E4" s="69" t="s">
        <v>323</v>
      </c>
      <c r="F4" s="68" t="s">
        <v>324</v>
      </c>
      <c r="G4" s="68" t="s">
        <v>325</v>
      </c>
      <c r="H4" s="69" t="s">
        <v>326</v>
      </c>
      <c r="I4" s="68" t="s">
        <v>327</v>
      </c>
      <c r="J4" s="68" t="s">
        <v>328</v>
      </c>
      <c r="K4" s="69" t="s">
        <v>329</v>
      </c>
      <c r="L4" s="68" t="s">
        <v>330</v>
      </c>
      <c r="M4" s="68" t="s">
        <v>331</v>
      </c>
      <c r="N4" s="70"/>
      <c r="O4" s="71" t="s">
        <v>332</v>
      </c>
      <c r="P4" s="71" t="s">
        <v>7</v>
      </c>
      <c r="Q4" s="71" t="s">
        <v>8</v>
      </c>
      <c r="R4" s="5"/>
      <c r="S4" s="72" t="s">
        <v>332</v>
      </c>
      <c r="T4" s="72" t="s">
        <v>7</v>
      </c>
      <c r="U4" s="72" t="s">
        <v>8</v>
      </c>
      <c r="Y4" s="4"/>
      <c r="Z4" s="4"/>
      <c r="AA4" s="4"/>
      <c r="AB4" s="4"/>
    </row>
    <row r="5" ht="22.5" customHeight="1">
      <c r="A5" s="73" t="s">
        <v>14</v>
      </c>
      <c r="B5" s="73">
        <v>6.15</v>
      </c>
      <c r="C5" s="73">
        <v>5.0</v>
      </c>
      <c r="D5" s="73">
        <v>2.0</v>
      </c>
      <c r="E5" s="73"/>
      <c r="F5" s="73">
        <v>15.41</v>
      </c>
      <c r="G5" s="73">
        <v>1.0</v>
      </c>
      <c r="H5" s="73"/>
      <c r="I5" s="73">
        <v>100.0</v>
      </c>
      <c r="J5" s="73">
        <v>100.0</v>
      </c>
      <c r="K5" s="73"/>
      <c r="L5" s="73">
        <v>1131.0</v>
      </c>
      <c r="M5" s="73">
        <v>74.0</v>
      </c>
      <c r="N5" s="70"/>
      <c r="O5" s="74" t="s">
        <v>333</v>
      </c>
      <c r="P5" s="74">
        <v>337786.0</v>
      </c>
      <c r="Q5" s="74">
        <v>49794.0</v>
      </c>
      <c r="R5" s="5"/>
      <c r="S5" s="75" t="s">
        <v>333</v>
      </c>
      <c r="T5" s="75">
        <v>337786.0</v>
      </c>
      <c r="U5" s="75">
        <v>49794.0</v>
      </c>
    </row>
    <row r="6" ht="22.5" customHeight="1">
      <c r="A6" s="73" t="s">
        <v>11</v>
      </c>
      <c r="B6" s="73">
        <v>5.82</v>
      </c>
      <c r="C6" s="73">
        <v>10.0</v>
      </c>
      <c r="D6" s="73">
        <v>2.0</v>
      </c>
      <c r="E6" s="73"/>
      <c r="F6" s="73">
        <v>15.55</v>
      </c>
      <c r="G6" s="73">
        <v>1.0</v>
      </c>
      <c r="H6" s="73"/>
      <c r="I6" s="73">
        <v>100.0</v>
      </c>
      <c r="J6" s="73">
        <v>100.0</v>
      </c>
      <c r="K6" s="73"/>
      <c r="L6" s="73">
        <v>1071.0</v>
      </c>
      <c r="M6" s="73">
        <v>56.0</v>
      </c>
      <c r="N6" s="70"/>
      <c r="O6" s="74" t="s">
        <v>334</v>
      </c>
      <c r="P6" s="74">
        <v>372451.0</v>
      </c>
      <c r="Q6" s="74">
        <v>45863.0</v>
      </c>
      <c r="R6" s="5"/>
      <c r="S6" s="75" t="s">
        <v>334</v>
      </c>
      <c r="T6" s="75">
        <v>372451.0</v>
      </c>
      <c r="U6" s="75">
        <v>45863.0</v>
      </c>
    </row>
    <row r="7" ht="22.5" customHeight="1">
      <c r="A7" s="73" t="s">
        <v>15</v>
      </c>
      <c r="B7" s="73">
        <v>6.21</v>
      </c>
      <c r="C7" s="73">
        <v>8.0</v>
      </c>
      <c r="D7" s="73">
        <v>1.0</v>
      </c>
      <c r="E7" s="73"/>
      <c r="F7" s="73">
        <v>15.65</v>
      </c>
      <c r="G7" s="73">
        <v>1.0</v>
      </c>
      <c r="H7" s="73"/>
      <c r="I7" s="73">
        <v>100.0</v>
      </c>
      <c r="J7" s="73">
        <v>100.0</v>
      </c>
      <c r="K7" s="73"/>
      <c r="L7" s="73">
        <v>1142.0</v>
      </c>
      <c r="M7" s="73">
        <v>73.0</v>
      </c>
      <c r="N7" s="70"/>
      <c r="O7" s="74" t="s">
        <v>335</v>
      </c>
      <c r="P7" s="74">
        <v>369845.0</v>
      </c>
      <c r="Q7" s="74">
        <v>50566.0</v>
      </c>
      <c r="R7" s="5"/>
      <c r="S7" s="75" t="s">
        <v>335</v>
      </c>
      <c r="T7" s="75">
        <v>369845.0</v>
      </c>
      <c r="U7" s="75">
        <v>50566.0</v>
      </c>
      <c r="W7" s="68" t="s">
        <v>1</v>
      </c>
      <c r="X7" s="68" t="s">
        <v>4</v>
      </c>
      <c r="Y7" s="68" t="s">
        <v>336</v>
      </c>
      <c r="Z7" s="68" t="s">
        <v>321</v>
      </c>
      <c r="AA7" s="68" t="s">
        <v>324</v>
      </c>
      <c r="AB7" s="68" t="s">
        <v>325</v>
      </c>
      <c r="AC7" s="68" t="s">
        <v>327</v>
      </c>
      <c r="AD7" s="68" t="s">
        <v>331</v>
      </c>
      <c r="AE7" s="76" t="s">
        <v>337</v>
      </c>
    </row>
    <row r="8" ht="22.5" customHeight="1">
      <c r="A8" s="73" t="s">
        <v>40</v>
      </c>
      <c r="B8" s="73">
        <v>1.84</v>
      </c>
      <c r="C8" s="73">
        <v>16.0</v>
      </c>
      <c r="D8" s="73">
        <v>4.0</v>
      </c>
      <c r="E8" s="73"/>
      <c r="F8" s="73">
        <v>7.15</v>
      </c>
      <c r="G8" s="73">
        <v>2.0</v>
      </c>
      <c r="H8" s="73"/>
      <c r="I8" s="73">
        <v>50.0</v>
      </c>
      <c r="J8" s="73">
        <v>50.0</v>
      </c>
      <c r="K8" s="73"/>
      <c r="L8" s="73">
        <v>338.0</v>
      </c>
      <c r="M8" s="73">
        <v>19.0</v>
      </c>
      <c r="N8" s="70"/>
      <c r="O8" s="74" t="s">
        <v>338</v>
      </c>
      <c r="P8" s="74">
        <v>518682.0</v>
      </c>
      <c r="Q8" s="74">
        <v>77245.0</v>
      </c>
      <c r="R8" s="5"/>
      <c r="S8" s="75" t="s">
        <v>338</v>
      </c>
      <c r="T8" s="75">
        <v>518682.0</v>
      </c>
      <c r="U8" s="75">
        <v>77245.0</v>
      </c>
      <c r="W8" s="73" t="s">
        <v>14</v>
      </c>
      <c r="X8" s="73" t="s">
        <v>23</v>
      </c>
      <c r="Y8" s="73" t="s">
        <v>339</v>
      </c>
      <c r="Z8" s="73">
        <v>6.15</v>
      </c>
      <c r="AA8" s="73">
        <v>15.41</v>
      </c>
      <c r="AB8" s="73">
        <v>1.0</v>
      </c>
      <c r="AC8" s="73">
        <v>100.0</v>
      </c>
      <c r="AD8" s="73">
        <v>74.0</v>
      </c>
      <c r="AE8" s="77">
        <v>3.98</v>
      </c>
    </row>
    <row r="9" ht="22.5" customHeight="1">
      <c r="A9" s="73" t="s">
        <v>85</v>
      </c>
      <c r="B9" s="73">
        <v>3.0</v>
      </c>
      <c r="C9" s="73">
        <v>46.0</v>
      </c>
      <c r="D9" s="73">
        <v>46.0</v>
      </c>
      <c r="E9" s="73"/>
      <c r="F9" s="73">
        <v>13.26</v>
      </c>
      <c r="G9" s="73">
        <v>46.0</v>
      </c>
      <c r="H9" s="73"/>
      <c r="I9" s="73">
        <v>92.0</v>
      </c>
      <c r="J9" s="73">
        <v>92.0</v>
      </c>
      <c r="K9" s="73"/>
      <c r="L9" s="73">
        <v>552.0</v>
      </c>
      <c r="M9" s="73">
        <v>10.0</v>
      </c>
      <c r="N9" s="70"/>
      <c r="O9" s="74" t="s">
        <v>340</v>
      </c>
      <c r="P9" s="74">
        <v>426072.0</v>
      </c>
      <c r="Q9" s="74">
        <v>57994.0</v>
      </c>
      <c r="R9" s="5"/>
      <c r="S9" s="75" t="s">
        <v>340</v>
      </c>
      <c r="T9" s="75">
        <v>426072.0</v>
      </c>
      <c r="U9" s="75">
        <v>57994.0</v>
      </c>
      <c r="W9" s="73" t="s">
        <v>11</v>
      </c>
      <c r="X9" s="73" t="s">
        <v>23</v>
      </c>
      <c r="Y9" s="73" t="s">
        <v>339</v>
      </c>
      <c r="Z9" s="73">
        <v>5.82</v>
      </c>
      <c r="AA9" s="73">
        <v>15.55</v>
      </c>
      <c r="AB9" s="73">
        <v>1.0</v>
      </c>
      <c r="AC9" s="73">
        <v>100.0</v>
      </c>
      <c r="AD9" s="73">
        <v>56.0</v>
      </c>
      <c r="AE9" s="77">
        <v>3.89</v>
      </c>
    </row>
    <row r="10" ht="22.5" customHeight="1">
      <c r="A10" s="73" t="s">
        <v>24</v>
      </c>
      <c r="B10" s="73">
        <v>35.16</v>
      </c>
      <c r="C10" s="73">
        <v>71.0</v>
      </c>
      <c r="D10" s="73">
        <v>71.0</v>
      </c>
      <c r="E10" s="73"/>
      <c r="F10" s="73">
        <v>65.23</v>
      </c>
      <c r="G10" s="73">
        <v>71.0</v>
      </c>
      <c r="H10" s="73"/>
      <c r="I10" s="73">
        <v>355.0</v>
      </c>
      <c r="J10" s="73">
        <v>355.0</v>
      </c>
      <c r="K10" s="73"/>
      <c r="L10" s="73">
        <v>6470.0</v>
      </c>
      <c r="M10" s="73">
        <v>55.0</v>
      </c>
      <c r="N10" s="70"/>
      <c r="O10" s="74" t="s">
        <v>341</v>
      </c>
      <c r="P10" s="74">
        <v>615458.0</v>
      </c>
      <c r="Q10" s="74">
        <v>90822.0</v>
      </c>
      <c r="R10" s="5"/>
      <c r="S10" s="75" t="s">
        <v>341</v>
      </c>
      <c r="T10" s="75">
        <v>615458.0</v>
      </c>
      <c r="U10" s="75">
        <v>90822.0</v>
      </c>
      <c r="W10" s="73" t="s">
        <v>15</v>
      </c>
      <c r="X10" s="73" t="s">
        <v>23</v>
      </c>
      <c r="Y10" s="73" t="s">
        <v>339</v>
      </c>
      <c r="Z10" s="73">
        <v>6.21</v>
      </c>
      <c r="AA10" s="73">
        <v>15.65</v>
      </c>
      <c r="AB10" s="73">
        <v>1.0</v>
      </c>
      <c r="AC10" s="73">
        <v>100.0</v>
      </c>
      <c r="AD10" s="73">
        <v>73.0</v>
      </c>
      <c r="AE10" s="77">
        <v>3.88</v>
      </c>
    </row>
    <row r="11" ht="22.5" customHeight="1">
      <c r="A11" s="73" t="s">
        <v>32</v>
      </c>
      <c r="B11" s="73">
        <v>42.4</v>
      </c>
      <c r="C11" s="73">
        <v>52.0</v>
      </c>
      <c r="D11" s="73">
        <v>51.0</v>
      </c>
      <c r="E11" s="73"/>
      <c r="F11" s="73">
        <v>77.58</v>
      </c>
      <c r="G11" s="73">
        <v>50.0</v>
      </c>
      <c r="H11" s="73"/>
      <c r="I11" s="73">
        <v>561.0</v>
      </c>
      <c r="J11" s="73">
        <v>561.0</v>
      </c>
      <c r="K11" s="73"/>
      <c r="L11" s="73">
        <v>7801.0</v>
      </c>
      <c r="M11" s="73">
        <v>75.0</v>
      </c>
      <c r="N11" s="70"/>
      <c r="O11" s="74" t="s">
        <v>342</v>
      </c>
      <c r="P11" s="74" t="s">
        <v>343</v>
      </c>
      <c r="Q11" s="74" t="s">
        <v>344</v>
      </c>
      <c r="R11" s="5"/>
      <c r="S11" s="75" t="s">
        <v>342</v>
      </c>
      <c r="T11" s="75" t="s">
        <v>343</v>
      </c>
      <c r="U11" s="75" t="s">
        <v>344</v>
      </c>
      <c r="W11" s="73" t="s">
        <v>40</v>
      </c>
      <c r="X11" s="73" t="s">
        <v>23</v>
      </c>
      <c r="Y11" s="73" t="s">
        <v>339</v>
      </c>
      <c r="Z11" s="73">
        <v>1.84</v>
      </c>
      <c r="AA11" s="73">
        <v>7.15</v>
      </c>
      <c r="AB11" s="73">
        <v>2.0</v>
      </c>
      <c r="AC11" s="73">
        <v>50.0</v>
      </c>
      <c r="AD11" s="73">
        <v>19.0</v>
      </c>
      <c r="AE11" s="77">
        <v>4.57</v>
      </c>
    </row>
    <row r="12" ht="22.5" customHeight="1">
      <c r="A12" s="73" t="s">
        <v>17</v>
      </c>
      <c r="B12" s="73">
        <v>28.48</v>
      </c>
      <c r="C12" s="73">
        <v>100.0</v>
      </c>
      <c r="D12" s="73">
        <v>50.0</v>
      </c>
      <c r="E12" s="73"/>
      <c r="F12" s="73">
        <v>60.12</v>
      </c>
      <c r="G12" s="73">
        <v>15.0</v>
      </c>
      <c r="H12" s="73"/>
      <c r="I12" s="73">
        <v>300.0</v>
      </c>
      <c r="J12" s="73">
        <v>300.0</v>
      </c>
      <c r="K12" s="73"/>
      <c r="L12" s="73">
        <v>5240.0</v>
      </c>
      <c r="M12" s="73">
        <v>52.0</v>
      </c>
      <c r="N12" s="70"/>
      <c r="O12" s="5"/>
      <c r="P12" s="5"/>
      <c r="Q12" s="5"/>
      <c r="R12" s="5"/>
      <c r="S12" s="5"/>
      <c r="W12" s="5"/>
      <c r="X12" s="5"/>
      <c r="Y12" s="5"/>
      <c r="Z12" s="5"/>
      <c r="AA12" s="5"/>
      <c r="AB12" s="5"/>
      <c r="AC12" s="5"/>
      <c r="AD12" s="5"/>
    </row>
    <row r="13" ht="22.5" customHeight="1">
      <c r="A13" s="73" t="s">
        <v>20</v>
      </c>
      <c r="B13" s="73">
        <v>36.03</v>
      </c>
      <c r="C13" s="73">
        <v>87.5</v>
      </c>
      <c r="D13" s="73">
        <v>25.0</v>
      </c>
      <c r="E13" s="73"/>
      <c r="F13" s="73">
        <v>75.04</v>
      </c>
      <c r="G13" s="73">
        <v>10.0</v>
      </c>
      <c r="H13" s="73"/>
      <c r="I13" s="73">
        <v>400.0</v>
      </c>
      <c r="J13" s="73">
        <v>400.0</v>
      </c>
      <c r="K13" s="73"/>
      <c r="L13" s="73">
        <v>6629.0</v>
      </c>
      <c r="M13" s="73">
        <v>62.0</v>
      </c>
      <c r="N13" s="70"/>
      <c r="O13" s="5"/>
      <c r="P13" s="5"/>
      <c r="Q13" s="5"/>
      <c r="R13" s="5"/>
      <c r="S13" s="5"/>
    </row>
    <row r="14" ht="22.5" customHeight="1">
      <c r="A14" s="73" t="s">
        <v>30</v>
      </c>
      <c r="B14" s="73">
        <v>49.55</v>
      </c>
      <c r="C14" s="73">
        <v>100.0</v>
      </c>
      <c r="D14" s="73">
        <v>200.0</v>
      </c>
      <c r="E14" s="73"/>
      <c r="F14" s="73">
        <v>84.13</v>
      </c>
      <c r="G14" s="73">
        <v>10.0</v>
      </c>
      <c r="H14" s="73"/>
      <c r="I14" s="73">
        <v>450.0</v>
      </c>
      <c r="J14" s="73">
        <v>450.0</v>
      </c>
      <c r="K14" s="73"/>
      <c r="L14" s="73">
        <v>9117.0</v>
      </c>
      <c r="M14" s="73">
        <v>73.0</v>
      </c>
      <c r="N14" s="70"/>
      <c r="O14" s="71" t="s">
        <v>205</v>
      </c>
      <c r="P14" s="71" t="s">
        <v>14</v>
      </c>
      <c r="Q14" s="71" t="s">
        <v>15</v>
      </c>
      <c r="R14" s="71" t="s">
        <v>345</v>
      </c>
      <c r="S14" s="71" t="s">
        <v>40</v>
      </c>
      <c r="T14" s="71" t="s">
        <v>342</v>
      </c>
    </row>
    <row r="15" ht="22.5" customHeight="1">
      <c r="A15" s="73" t="s">
        <v>29</v>
      </c>
      <c r="B15" s="73">
        <v>3.39</v>
      </c>
      <c r="C15" s="73">
        <v>10.0</v>
      </c>
      <c r="D15" s="73">
        <v>5.0</v>
      </c>
      <c r="E15" s="73"/>
      <c r="F15" s="73">
        <v>6.44</v>
      </c>
      <c r="G15" s="73">
        <v>2.0</v>
      </c>
      <c r="H15" s="73"/>
      <c r="I15" s="73">
        <v>30.0</v>
      </c>
      <c r="J15" s="73">
        <v>30.0</v>
      </c>
      <c r="K15" s="73"/>
      <c r="L15" s="73">
        <v>624.0</v>
      </c>
      <c r="M15" s="73">
        <v>59.0</v>
      </c>
      <c r="N15" s="70"/>
      <c r="O15" s="74" t="s">
        <v>333</v>
      </c>
      <c r="P15" s="74">
        <v>187.0</v>
      </c>
      <c r="Q15" s="74">
        <v>104.0</v>
      </c>
      <c r="R15" s="74">
        <v>130.0</v>
      </c>
      <c r="S15" s="74">
        <v>34.0</v>
      </c>
      <c r="T15" s="74">
        <f t="shared" ref="T15:T20" si="1">SUM(P15:S15)</f>
        <v>455</v>
      </c>
    </row>
    <row r="16" ht="22.5" customHeight="1">
      <c r="A16" s="73" t="s">
        <v>26</v>
      </c>
      <c r="B16" s="73">
        <v>3.07</v>
      </c>
      <c r="C16" s="73">
        <v>6.0</v>
      </c>
      <c r="D16" s="73">
        <v>10.0</v>
      </c>
      <c r="E16" s="73"/>
      <c r="F16" s="73">
        <v>5.08</v>
      </c>
      <c r="G16" s="73">
        <v>1.0</v>
      </c>
      <c r="H16" s="73"/>
      <c r="I16" s="73">
        <v>30.0</v>
      </c>
      <c r="J16" s="73">
        <v>30.0</v>
      </c>
      <c r="K16" s="73"/>
      <c r="L16" s="73">
        <v>564.0</v>
      </c>
      <c r="M16" s="73">
        <v>73.0</v>
      </c>
      <c r="N16" s="70"/>
      <c r="O16" s="74" t="s">
        <v>334</v>
      </c>
      <c r="P16" s="74">
        <v>105.0</v>
      </c>
      <c r="Q16" s="74">
        <v>193.0</v>
      </c>
      <c r="R16" s="74">
        <v>63.0</v>
      </c>
      <c r="S16" s="74">
        <v>56.0</v>
      </c>
      <c r="T16" s="74">
        <f t="shared" si="1"/>
        <v>417</v>
      </c>
    </row>
    <row r="17" ht="22.5" customHeight="1">
      <c r="A17" s="73" t="s">
        <v>21</v>
      </c>
      <c r="B17" s="73">
        <v>0.73</v>
      </c>
      <c r="C17" s="73">
        <v>10.0</v>
      </c>
      <c r="D17" s="73">
        <v>10.0</v>
      </c>
      <c r="E17" s="73"/>
      <c r="F17" s="73">
        <v>2.64</v>
      </c>
      <c r="G17" s="73">
        <v>5.0</v>
      </c>
      <c r="H17" s="73"/>
      <c r="I17" s="73">
        <v>20.0</v>
      </c>
      <c r="J17" s="73">
        <v>20.0</v>
      </c>
      <c r="K17" s="73"/>
      <c r="L17" s="73">
        <v>135.0</v>
      </c>
      <c r="M17" s="73">
        <v>16.0</v>
      </c>
      <c r="N17" s="70"/>
      <c r="O17" s="74" t="s">
        <v>335</v>
      </c>
      <c r="P17" s="74">
        <v>82.0</v>
      </c>
      <c r="Q17" s="74">
        <v>227.0</v>
      </c>
      <c r="R17" s="74">
        <v>86.0</v>
      </c>
      <c r="S17" s="74">
        <v>77.0</v>
      </c>
      <c r="T17" s="74">
        <f t="shared" si="1"/>
        <v>472</v>
      </c>
    </row>
    <row r="18" ht="22.5" customHeight="1">
      <c r="A18" s="73" t="s">
        <v>42</v>
      </c>
      <c r="B18" s="73">
        <v>0.26</v>
      </c>
      <c r="C18" s="73">
        <v>4.0</v>
      </c>
      <c r="D18" s="73">
        <v>2.0</v>
      </c>
      <c r="E18" s="73"/>
      <c r="F18" s="73">
        <v>1.07</v>
      </c>
      <c r="G18" s="73">
        <v>2.0</v>
      </c>
      <c r="H18" s="73"/>
      <c r="I18" s="73">
        <v>8.0</v>
      </c>
      <c r="J18" s="73">
        <v>8.0</v>
      </c>
      <c r="K18" s="73"/>
      <c r="L18" s="73">
        <v>47.0</v>
      </c>
      <c r="M18" s="73">
        <v>12.0</v>
      </c>
      <c r="N18" s="70"/>
      <c r="O18" s="74" t="s">
        <v>338</v>
      </c>
      <c r="P18" s="74">
        <v>289.0</v>
      </c>
      <c r="Q18" s="74">
        <v>127.0</v>
      </c>
      <c r="R18" s="74">
        <v>275.0</v>
      </c>
      <c r="S18" s="74">
        <v>33.0</v>
      </c>
      <c r="T18" s="74">
        <f t="shared" si="1"/>
        <v>724</v>
      </c>
    </row>
    <row r="19" ht="20.25" customHeight="1">
      <c r="A19" s="5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5"/>
      <c r="O19" s="74" t="s">
        <v>340</v>
      </c>
      <c r="P19" s="74">
        <v>131.0</v>
      </c>
      <c r="Q19" s="74">
        <v>119.0</v>
      </c>
      <c r="R19" s="74">
        <v>185.0</v>
      </c>
      <c r="S19" s="74">
        <v>38.0</v>
      </c>
      <c r="T19" s="74">
        <f t="shared" si="1"/>
        <v>473</v>
      </c>
    </row>
    <row r="20" ht="20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74" t="s">
        <v>341</v>
      </c>
      <c r="P20" s="74">
        <v>337.0</v>
      </c>
      <c r="Q20" s="74">
        <v>372.0</v>
      </c>
      <c r="R20" s="74">
        <v>332.0</v>
      </c>
      <c r="S20" s="74">
        <v>100.0</v>
      </c>
      <c r="T20" s="74">
        <f t="shared" si="1"/>
        <v>1141</v>
      </c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74" t="s">
        <v>342</v>
      </c>
      <c r="P21" s="74">
        <f>SUM(Calculations!$P$15:$P$20)</f>
        <v>1131</v>
      </c>
      <c r="Q21" s="74">
        <f>SUM(Calculations!$Q$15:$Q$20)</f>
        <v>1142</v>
      </c>
      <c r="R21" s="74">
        <f>SUM(Calculations!$R$15:$R$20)</f>
        <v>1071</v>
      </c>
      <c r="S21" s="74">
        <f>SUM(Calculations!$S$15:$S$20)</f>
        <v>338</v>
      </c>
      <c r="T21" s="74">
        <f>SUM(Calculations!$T$15:$T$20)</f>
        <v>3682</v>
      </c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4"/>
      <c r="K22" s="4"/>
      <c r="L22" s="4"/>
      <c r="M22" s="5"/>
      <c r="N22" s="5"/>
      <c r="O22" s="5"/>
      <c r="P22" s="5"/>
      <c r="Q22" s="5"/>
      <c r="R22" s="5"/>
      <c r="S22" s="5"/>
    </row>
    <row r="23" ht="18.0" customHeight="1">
      <c r="A23" s="71" t="s">
        <v>1</v>
      </c>
      <c r="B23" s="71" t="s">
        <v>321</v>
      </c>
      <c r="C23" s="71" t="s">
        <v>346</v>
      </c>
      <c r="D23" s="71" t="s">
        <v>347</v>
      </c>
      <c r="E23" s="71"/>
      <c r="F23" s="71" t="s">
        <v>348</v>
      </c>
      <c r="G23" s="71" t="s">
        <v>349</v>
      </c>
      <c r="H23" s="5"/>
      <c r="I23" s="5"/>
      <c r="J23" s="71" t="s">
        <v>1</v>
      </c>
      <c r="K23" s="71"/>
      <c r="L23" s="71" t="s">
        <v>350</v>
      </c>
      <c r="M23" s="71" t="s">
        <v>351</v>
      </c>
      <c r="N23" s="71" t="s">
        <v>8</v>
      </c>
      <c r="O23" s="71" t="s">
        <v>352</v>
      </c>
      <c r="P23" s="5"/>
      <c r="Q23" s="5"/>
      <c r="R23" s="5"/>
      <c r="S23" s="5"/>
    </row>
    <row r="24" ht="19.5" customHeight="1">
      <c r="A24" s="74" t="s">
        <v>14</v>
      </c>
      <c r="B24" s="74">
        <v>6.15</v>
      </c>
      <c r="C24" s="74">
        <v>15.41</v>
      </c>
      <c r="D24" s="74">
        <v>5.0</v>
      </c>
      <c r="E24" s="74"/>
      <c r="F24" s="74">
        <v>25.4265</v>
      </c>
      <c r="G24" s="74">
        <v>56.1765</v>
      </c>
      <c r="H24" s="5"/>
      <c r="I24" s="5"/>
      <c r="J24" s="74" t="s">
        <v>11</v>
      </c>
      <c r="K24" s="74"/>
      <c r="L24" s="74">
        <v>268.27</v>
      </c>
      <c r="M24" s="74">
        <v>332.93</v>
      </c>
      <c r="N24" s="74">
        <v>67490.0</v>
      </c>
      <c r="O24" s="74">
        <v>19.38</v>
      </c>
      <c r="P24" s="5"/>
      <c r="Q24" s="5"/>
      <c r="R24" s="5"/>
      <c r="S24" s="5"/>
    </row>
    <row r="25" ht="21.75" customHeight="1">
      <c r="A25" s="74" t="s">
        <v>11</v>
      </c>
      <c r="B25" s="74">
        <v>5.82</v>
      </c>
      <c r="C25" s="74">
        <v>15.55</v>
      </c>
      <c r="D25" s="74">
        <v>5.0</v>
      </c>
      <c r="E25" s="74"/>
      <c r="F25" s="74">
        <v>25.6575</v>
      </c>
      <c r="G25" s="74">
        <v>54.7575</v>
      </c>
      <c r="H25" s="5"/>
      <c r="I25" s="5"/>
      <c r="J25" s="74" t="s">
        <v>15</v>
      </c>
      <c r="K25" s="74"/>
      <c r="L25" s="74">
        <v>270.0</v>
      </c>
      <c r="M25" s="74">
        <v>320.0</v>
      </c>
      <c r="N25" s="74">
        <v>57100.0</v>
      </c>
      <c r="O25" s="74">
        <v>15.62</v>
      </c>
      <c r="P25" s="5"/>
      <c r="Q25" s="5"/>
      <c r="R25" s="5"/>
      <c r="S25" s="5"/>
    </row>
    <row r="26" ht="22.5" customHeight="1">
      <c r="A26" s="74" t="s">
        <v>15</v>
      </c>
      <c r="B26" s="74">
        <v>6.21</v>
      </c>
      <c r="C26" s="74">
        <v>15.65</v>
      </c>
      <c r="D26" s="74">
        <v>5.0</v>
      </c>
      <c r="E26" s="74"/>
      <c r="F26" s="74">
        <v>25.8225</v>
      </c>
      <c r="G26" s="74">
        <v>56.8725</v>
      </c>
      <c r="H26" s="5"/>
      <c r="I26" s="5"/>
      <c r="J26" s="74" t="s">
        <v>14</v>
      </c>
      <c r="K26" s="74"/>
      <c r="L26" s="74">
        <v>292.83</v>
      </c>
      <c r="M26" s="74">
        <v>353.51</v>
      </c>
      <c r="N26" s="74">
        <v>69545.0</v>
      </c>
      <c r="O26" s="74">
        <v>17.16</v>
      </c>
      <c r="P26" s="5"/>
      <c r="Q26" s="5"/>
      <c r="R26" s="5"/>
      <c r="S26" s="5"/>
    </row>
    <row r="27" ht="22.5" customHeight="1">
      <c r="A27" s="74" t="s">
        <v>40</v>
      </c>
      <c r="B27" s="74">
        <v>1.84</v>
      </c>
      <c r="C27" s="74">
        <v>7.15</v>
      </c>
      <c r="D27" s="74">
        <v>5.0</v>
      </c>
      <c r="E27" s="74"/>
      <c r="F27" s="74">
        <v>11.7975</v>
      </c>
      <c r="G27" s="74">
        <v>20.9975</v>
      </c>
      <c r="H27" s="5"/>
      <c r="I27" s="5"/>
      <c r="J27" s="74" t="s">
        <v>40</v>
      </c>
      <c r="K27" s="74"/>
      <c r="L27" s="74">
        <v>360.0</v>
      </c>
      <c r="M27" s="74">
        <v>414.5</v>
      </c>
      <c r="N27" s="74">
        <v>18280.0</v>
      </c>
      <c r="O27" s="74">
        <v>13.13</v>
      </c>
      <c r="P27" s="5"/>
      <c r="Q27" s="5"/>
      <c r="R27" s="5"/>
      <c r="S27" s="5"/>
    </row>
    <row r="28" ht="22.5" customHeight="1">
      <c r="A28" s="74" t="s">
        <v>254</v>
      </c>
      <c r="B28" s="74">
        <v>3.0</v>
      </c>
      <c r="C28" s="74">
        <v>13.26</v>
      </c>
      <c r="D28" s="74">
        <v>5.0</v>
      </c>
      <c r="E28" s="74"/>
      <c r="F28" s="74">
        <v>21.879</v>
      </c>
      <c r="G28" s="74">
        <v>36.879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22.5" customHeight="1">
      <c r="A29" s="74" t="s">
        <v>255</v>
      </c>
      <c r="B29" s="74">
        <v>35.16</v>
      </c>
      <c r="C29" s="74">
        <v>65.23</v>
      </c>
      <c r="D29" s="74">
        <v>5.0</v>
      </c>
      <c r="E29" s="74"/>
      <c r="F29" s="74">
        <v>107.6295</v>
      </c>
      <c r="G29" s="74">
        <v>283.4295</v>
      </c>
      <c r="H29" s="5"/>
      <c r="I29" s="5"/>
      <c r="J29" s="71" t="s">
        <v>1</v>
      </c>
      <c r="K29" s="71"/>
      <c r="L29" s="71" t="s">
        <v>350</v>
      </c>
      <c r="M29" s="71" t="s">
        <v>351</v>
      </c>
      <c r="N29" s="71" t="s">
        <v>8</v>
      </c>
      <c r="O29" s="71" t="s">
        <v>352</v>
      </c>
      <c r="P29" s="5"/>
      <c r="Q29" s="5"/>
      <c r="R29" s="5"/>
      <c r="S29" s="5"/>
    </row>
    <row r="30" ht="22.5" customHeight="1">
      <c r="A30" s="74" t="s">
        <v>353</v>
      </c>
      <c r="B30" s="74">
        <v>42.4</v>
      </c>
      <c r="C30" s="74">
        <v>77.58</v>
      </c>
      <c r="D30" s="74">
        <v>5.0</v>
      </c>
      <c r="E30" s="74"/>
      <c r="F30" s="74">
        <v>128.007</v>
      </c>
      <c r="G30" s="74">
        <v>340.0069999999999</v>
      </c>
      <c r="H30" s="5"/>
      <c r="I30" s="5"/>
      <c r="J30" s="74" t="s">
        <v>354</v>
      </c>
      <c r="K30" s="74"/>
      <c r="L30" s="74">
        <v>55.0</v>
      </c>
      <c r="M30" s="74">
        <v>59.0</v>
      </c>
      <c r="N30" s="74">
        <v>2208.0</v>
      </c>
      <c r="O30" s="74">
        <v>6.78</v>
      </c>
      <c r="P30" s="5"/>
      <c r="Q30" s="5"/>
      <c r="R30" s="5"/>
      <c r="S30" s="5"/>
    </row>
    <row r="31" ht="22.5" customHeight="1">
      <c r="A31" s="74" t="s">
        <v>355</v>
      </c>
      <c r="B31" s="74">
        <v>28.48</v>
      </c>
      <c r="C31" s="74">
        <v>60.12</v>
      </c>
      <c r="D31" s="74">
        <v>5.0</v>
      </c>
      <c r="E31" s="74"/>
      <c r="F31" s="74">
        <v>99.198</v>
      </c>
      <c r="G31" s="74">
        <v>241.598</v>
      </c>
      <c r="H31" s="5"/>
      <c r="I31" s="5"/>
      <c r="J31" s="74" t="s">
        <v>356</v>
      </c>
      <c r="K31" s="74"/>
      <c r="L31" s="74">
        <v>51.85</v>
      </c>
      <c r="M31" s="74">
        <v>55.85</v>
      </c>
      <c r="N31" s="74">
        <v>20830.0</v>
      </c>
      <c r="O31" s="74">
        <v>5.86</v>
      </c>
      <c r="P31" s="5"/>
      <c r="Q31" s="5"/>
      <c r="R31" s="5"/>
      <c r="S31" s="5"/>
    </row>
    <row r="32" ht="22.5" customHeight="1">
      <c r="A32" s="74" t="s">
        <v>357</v>
      </c>
      <c r="B32" s="74">
        <v>36.03</v>
      </c>
      <c r="C32" s="74">
        <v>75.04</v>
      </c>
      <c r="D32" s="74">
        <v>5.0</v>
      </c>
      <c r="E32" s="74"/>
      <c r="F32" s="74">
        <v>123.816</v>
      </c>
      <c r="G32" s="74">
        <v>303.966</v>
      </c>
      <c r="H32" s="5"/>
      <c r="I32" s="5"/>
      <c r="J32" s="74" t="s">
        <v>358</v>
      </c>
      <c r="K32" s="74"/>
      <c r="L32" s="74">
        <v>52.0</v>
      </c>
      <c r="M32" s="74">
        <v>55.0</v>
      </c>
      <c r="N32" s="74">
        <v>23403.0</v>
      </c>
      <c r="O32" s="74">
        <v>5.45</v>
      </c>
      <c r="P32" s="5"/>
      <c r="Q32" s="5"/>
      <c r="R32" s="5"/>
      <c r="S32" s="5"/>
    </row>
    <row r="33" ht="22.5" customHeight="1">
      <c r="A33" s="74" t="s">
        <v>359</v>
      </c>
      <c r="B33" s="74">
        <v>49.55</v>
      </c>
      <c r="C33" s="74">
        <v>84.13</v>
      </c>
      <c r="D33" s="74">
        <v>5.0</v>
      </c>
      <c r="E33" s="74"/>
      <c r="F33" s="74">
        <v>138.8145</v>
      </c>
      <c r="G33" s="74">
        <v>386.5645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22.5" customHeight="1">
      <c r="A34" s="5"/>
      <c r="B34" s="5"/>
      <c r="C34" s="5"/>
      <c r="D34" s="5"/>
      <c r="E34" s="5"/>
      <c r="F34" s="5"/>
      <c r="G34" s="5"/>
      <c r="H34" s="5"/>
      <c r="I34" s="5"/>
      <c r="J34" s="71" t="s">
        <v>1</v>
      </c>
      <c r="K34" s="71"/>
      <c r="L34" s="71" t="s">
        <v>350</v>
      </c>
      <c r="M34" s="71" t="s">
        <v>351</v>
      </c>
      <c r="N34" s="71" t="s">
        <v>8</v>
      </c>
      <c r="O34" s="71" t="s">
        <v>352</v>
      </c>
      <c r="P34" s="5"/>
      <c r="Q34" s="5"/>
      <c r="R34" s="5"/>
      <c r="S34" s="5"/>
    </row>
    <row r="35" ht="22.5" customHeight="1">
      <c r="A35" s="5"/>
      <c r="B35" s="5"/>
      <c r="C35" s="5"/>
      <c r="D35" s="5"/>
      <c r="E35" s="5"/>
      <c r="F35" s="5"/>
      <c r="G35" s="5"/>
      <c r="H35" s="5"/>
      <c r="I35" s="5"/>
      <c r="J35" s="74" t="s">
        <v>360</v>
      </c>
      <c r="K35" s="74"/>
      <c r="L35" s="74">
        <v>8.0</v>
      </c>
      <c r="M35" s="74">
        <v>12.0</v>
      </c>
      <c r="N35" s="74">
        <v>20960.0</v>
      </c>
      <c r="O35" s="74">
        <v>33.33</v>
      </c>
      <c r="P35" s="5"/>
      <c r="Q35" s="5"/>
      <c r="R35" s="5"/>
      <c r="S35" s="5"/>
    </row>
    <row r="36" ht="22.5" customHeight="1">
      <c r="A36" s="5"/>
      <c r="B36" s="5"/>
      <c r="C36" s="5"/>
      <c r="D36" s="5"/>
      <c r="E36" s="5"/>
      <c r="F36" s="5"/>
      <c r="G36" s="5"/>
      <c r="H36" s="5"/>
      <c r="I36" s="5"/>
      <c r="J36" s="74" t="s">
        <v>361</v>
      </c>
      <c r="K36" s="74"/>
      <c r="L36" s="74">
        <v>8.0</v>
      </c>
      <c r="M36" s="74">
        <v>12.0</v>
      </c>
      <c r="N36" s="74">
        <v>36968.0</v>
      </c>
      <c r="O36" s="74">
        <v>33.33</v>
      </c>
      <c r="P36" s="5"/>
      <c r="Q36" s="5"/>
      <c r="R36" s="5"/>
      <c r="S36" s="5"/>
    </row>
    <row r="37" ht="22.5" customHeight="1">
      <c r="A37" s="5"/>
      <c r="B37" s="5"/>
      <c r="C37" s="5"/>
      <c r="D37" s="5"/>
      <c r="E37" s="5"/>
      <c r="F37" s="5"/>
      <c r="G37" s="5"/>
      <c r="H37" s="5"/>
      <c r="I37" s="5"/>
      <c r="J37" s="74" t="s">
        <v>362</v>
      </c>
      <c r="K37" s="74"/>
      <c r="L37" s="74">
        <v>8.38</v>
      </c>
      <c r="M37" s="74">
        <v>9.24</v>
      </c>
      <c r="N37" s="74">
        <v>5795.0</v>
      </c>
      <c r="O37" s="74">
        <v>9.08</v>
      </c>
      <c r="P37" s="5"/>
      <c r="Q37" s="5"/>
      <c r="R37" s="5"/>
      <c r="S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79"/>
      <c r="B41" s="5"/>
      <c r="C41" s="80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82"/>
      <c r="O41" s="82"/>
      <c r="P41" s="5"/>
      <c r="Q41" s="5"/>
      <c r="R41" s="5"/>
      <c r="S41" s="5"/>
    </row>
    <row r="42" ht="15.75" customHeight="1">
      <c r="A42" s="83"/>
      <c r="B42" s="5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5"/>
      <c r="Q42" s="5"/>
      <c r="R42" s="5"/>
      <c r="S42" s="5"/>
    </row>
    <row r="43" ht="15.75" customHeight="1">
      <c r="A43" s="83"/>
      <c r="B43" s="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5"/>
      <c r="Q43" s="5"/>
      <c r="R43" s="5"/>
      <c r="S43" s="5"/>
    </row>
    <row r="44" ht="15.75" customHeight="1">
      <c r="A44" s="83"/>
      <c r="B44" s="5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5"/>
      <c r="Q44" s="5"/>
      <c r="R44" s="5"/>
      <c r="S44" s="5"/>
    </row>
    <row r="45" ht="15.75" customHeight="1">
      <c r="A45" s="83"/>
      <c r="B45" s="5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5"/>
      <c r="Q45" s="5"/>
      <c r="R45" s="5"/>
      <c r="S45" s="5"/>
    </row>
    <row r="46" ht="15.75" customHeight="1">
      <c r="A46" s="8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A47" s="84" t="s">
        <v>363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6"/>
    </row>
    <row r="48" ht="15.75" customHeight="1">
      <c r="A48" s="87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</row>
    <row r="49" ht="15.75" customHeight="1">
      <c r="A49" s="8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90" t="s">
        <v>364</v>
      </c>
      <c r="B50" s="91"/>
      <c r="C50" s="9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A51" s="93" t="s">
        <v>14</v>
      </c>
      <c r="B51" s="93" t="s">
        <v>11</v>
      </c>
      <c r="C51" s="93" t="s">
        <v>15</v>
      </c>
      <c r="D51" s="93" t="s">
        <v>40</v>
      </c>
      <c r="E51" s="93"/>
      <c r="F51" s="93" t="s">
        <v>85</v>
      </c>
      <c r="G51" s="93" t="s">
        <v>24</v>
      </c>
      <c r="H51" s="93"/>
      <c r="I51" s="93" t="s">
        <v>32</v>
      </c>
      <c r="J51" s="93" t="s">
        <v>17</v>
      </c>
      <c r="K51" s="93"/>
      <c r="L51" s="93" t="s">
        <v>30</v>
      </c>
      <c r="M51" s="93" t="s">
        <v>20</v>
      </c>
      <c r="N51" s="93" t="s">
        <v>261</v>
      </c>
      <c r="O51" s="93" t="s">
        <v>260</v>
      </c>
      <c r="P51" s="5"/>
      <c r="Q51" s="5"/>
      <c r="R51" s="5"/>
      <c r="S51" s="5"/>
    </row>
    <row r="52" ht="15.75" customHeight="1">
      <c r="A52" s="94">
        <v>20.0</v>
      </c>
      <c r="B52" s="94">
        <v>10.0</v>
      </c>
      <c r="C52" s="94">
        <v>5.0</v>
      </c>
      <c r="D52" s="94">
        <v>4.0</v>
      </c>
      <c r="E52" s="94"/>
      <c r="F52" s="94">
        <v>46.0</v>
      </c>
      <c r="G52" s="94">
        <v>71.0</v>
      </c>
      <c r="H52" s="94"/>
      <c r="I52" s="94">
        <v>102.0</v>
      </c>
      <c r="J52" s="94">
        <v>100.0</v>
      </c>
      <c r="K52" s="94"/>
      <c r="L52" s="94">
        <v>160.0</v>
      </c>
      <c r="M52" s="94">
        <v>150.0</v>
      </c>
      <c r="N52" s="94">
        <v>5.0</v>
      </c>
      <c r="O52" s="94">
        <v>2.0</v>
      </c>
      <c r="P52" s="5"/>
      <c r="Q52" s="5"/>
      <c r="R52" s="5"/>
      <c r="S52" s="5"/>
    </row>
    <row r="53" ht="15.75" customHeight="1">
      <c r="A53" s="94">
        <v>10.0</v>
      </c>
      <c r="B53" s="94">
        <v>50.0</v>
      </c>
      <c r="C53" s="94">
        <v>10.0</v>
      </c>
      <c r="D53" s="94">
        <v>30.0</v>
      </c>
      <c r="E53" s="94"/>
      <c r="F53" s="94">
        <v>46.0</v>
      </c>
      <c r="G53" s="94">
        <v>142.0</v>
      </c>
      <c r="H53" s="94"/>
      <c r="I53" s="94">
        <v>51.0</v>
      </c>
      <c r="J53" s="94">
        <v>100.0</v>
      </c>
      <c r="K53" s="94"/>
      <c r="L53" s="94">
        <v>160.0</v>
      </c>
      <c r="M53" s="94">
        <v>125.0</v>
      </c>
      <c r="N53" s="94">
        <v>10.0</v>
      </c>
      <c r="O53" s="94">
        <v>5.0</v>
      </c>
      <c r="P53" s="5"/>
      <c r="Q53" s="5"/>
      <c r="R53" s="5"/>
      <c r="S53" s="5"/>
    </row>
    <row r="54" ht="15.75" customHeight="1">
      <c r="A54" s="94">
        <v>30.0</v>
      </c>
      <c r="B54" s="94">
        <v>15.0</v>
      </c>
      <c r="C54" s="94">
        <v>10.0</v>
      </c>
      <c r="D54" s="94">
        <v>20.0</v>
      </c>
      <c r="E54" s="94"/>
      <c r="F54" s="94">
        <v>46.0</v>
      </c>
      <c r="G54" s="94">
        <v>142.0</v>
      </c>
      <c r="H54" s="94"/>
      <c r="I54" s="94">
        <v>51.0</v>
      </c>
      <c r="J54" s="94">
        <v>100.0</v>
      </c>
      <c r="K54" s="94"/>
      <c r="L54" s="94">
        <v>60.0</v>
      </c>
      <c r="M54" s="94">
        <v>25.0</v>
      </c>
      <c r="N54" s="94">
        <v>2.0</v>
      </c>
      <c r="O54" s="94">
        <v>5.0</v>
      </c>
      <c r="P54" s="5"/>
      <c r="Q54" s="5"/>
      <c r="R54" s="5"/>
      <c r="S54" s="5"/>
    </row>
    <row r="55" ht="15.75" customHeight="1">
      <c r="A55" s="94">
        <v>100.0</v>
      </c>
      <c r="B55" s="94">
        <v>10.0</v>
      </c>
      <c r="C55" s="94">
        <v>5.0</v>
      </c>
      <c r="D55" s="94">
        <v>12.0</v>
      </c>
      <c r="E55" s="94"/>
      <c r="F55" s="94">
        <v>46.0</v>
      </c>
      <c r="G55" s="94">
        <v>71.0</v>
      </c>
      <c r="H55" s="94"/>
      <c r="I55" s="94">
        <v>102.0</v>
      </c>
      <c r="J55" s="94">
        <v>50.0</v>
      </c>
      <c r="K55" s="94"/>
      <c r="L55" s="94">
        <v>100.0</v>
      </c>
      <c r="M55" s="94">
        <v>30.0</v>
      </c>
      <c r="N55" s="94">
        <v>2.0</v>
      </c>
      <c r="O55" s="94">
        <v>4.0</v>
      </c>
      <c r="P55" s="5"/>
      <c r="Q55" s="5"/>
      <c r="R55" s="5"/>
      <c r="S55" s="5"/>
    </row>
    <row r="56" ht="15.75" customHeight="1">
      <c r="A56" s="94">
        <v>12.0</v>
      </c>
      <c r="B56" s="94">
        <v>20.0</v>
      </c>
      <c r="C56" s="94">
        <v>1.0</v>
      </c>
      <c r="D56" s="94">
        <v>4.0</v>
      </c>
      <c r="E56" s="94"/>
      <c r="F56" s="94">
        <v>92.0</v>
      </c>
      <c r="G56" s="94">
        <v>71.0</v>
      </c>
      <c r="H56" s="94"/>
      <c r="I56" s="94">
        <v>51.0</v>
      </c>
      <c r="J56" s="94">
        <v>50.0</v>
      </c>
      <c r="K56" s="94"/>
      <c r="L56" s="94">
        <v>25.0</v>
      </c>
      <c r="M56" s="94">
        <v>140.0</v>
      </c>
      <c r="N56" s="94">
        <v>5.0</v>
      </c>
      <c r="O56" s="94">
        <v>20.0</v>
      </c>
      <c r="P56" s="5"/>
      <c r="Q56" s="5"/>
      <c r="R56" s="5"/>
      <c r="S56" s="5"/>
    </row>
    <row r="57" ht="15.75" customHeight="1">
      <c r="A57" s="94">
        <v>3.0</v>
      </c>
      <c r="B57" s="94">
        <v>2.0</v>
      </c>
      <c r="C57" s="94">
        <v>5.0</v>
      </c>
      <c r="D57" s="94">
        <v>20.0</v>
      </c>
      <c r="E57" s="94"/>
      <c r="F57" s="94">
        <v>46.0</v>
      </c>
      <c r="G57" s="94">
        <v>71.0</v>
      </c>
      <c r="H57" s="94"/>
      <c r="I57" s="94">
        <v>102.0</v>
      </c>
      <c r="J57" s="94">
        <v>150.0</v>
      </c>
      <c r="K57" s="94"/>
      <c r="L57" s="94">
        <v>80.0</v>
      </c>
      <c r="M57" s="94">
        <v>100.0</v>
      </c>
      <c r="N57" s="94">
        <v>2.0</v>
      </c>
      <c r="O57" s="94">
        <v>5.0</v>
      </c>
      <c r="P57" s="5"/>
      <c r="Q57" s="5"/>
      <c r="R57" s="5"/>
      <c r="S57" s="5"/>
    </row>
    <row r="58" ht="15.75" customHeight="1">
      <c r="A58" s="94">
        <v>2.0</v>
      </c>
      <c r="B58" s="94">
        <v>3.0</v>
      </c>
      <c r="C58" s="94">
        <v>15.0</v>
      </c>
      <c r="D58" s="94">
        <v>50.0</v>
      </c>
      <c r="E58" s="94"/>
      <c r="F58" s="94">
        <v>46.0</v>
      </c>
      <c r="G58" s="94">
        <v>355.0</v>
      </c>
      <c r="H58" s="94"/>
      <c r="I58" s="94">
        <v>51.0</v>
      </c>
      <c r="J58" s="94">
        <v>140.0</v>
      </c>
      <c r="K58" s="94"/>
      <c r="L58" s="94">
        <v>250.0</v>
      </c>
      <c r="M58" s="94">
        <v>100.0</v>
      </c>
      <c r="N58" s="94">
        <v>8.0</v>
      </c>
      <c r="O58" s="94">
        <v>6.0</v>
      </c>
      <c r="P58" s="5"/>
      <c r="Q58" s="5"/>
      <c r="R58" s="5"/>
      <c r="S58" s="5"/>
    </row>
    <row r="59" ht="15.75" customHeight="1">
      <c r="A59" s="94">
        <v>2.0</v>
      </c>
      <c r="B59" s="94">
        <v>10.0</v>
      </c>
      <c r="C59" s="94">
        <v>20.0</v>
      </c>
      <c r="D59" s="94">
        <v>25.0</v>
      </c>
      <c r="E59" s="94"/>
      <c r="F59" s="94">
        <v>46.0</v>
      </c>
      <c r="G59" s="94">
        <v>71.0</v>
      </c>
      <c r="H59" s="94"/>
      <c r="I59" s="94">
        <v>51.0</v>
      </c>
      <c r="J59" s="94">
        <v>50.0</v>
      </c>
      <c r="K59" s="94"/>
      <c r="L59" s="94">
        <v>200.0</v>
      </c>
      <c r="M59" s="94">
        <v>25.0</v>
      </c>
      <c r="N59" s="94">
        <v>5.0</v>
      </c>
      <c r="O59" s="94">
        <v>5.0</v>
      </c>
      <c r="P59" s="5"/>
      <c r="Q59" s="5"/>
      <c r="R59" s="5"/>
      <c r="S59" s="5"/>
    </row>
    <row r="60" ht="15.75" customHeight="1">
      <c r="A60" s="94">
        <v>2.0</v>
      </c>
      <c r="B60" s="94">
        <v>3.0</v>
      </c>
      <c r="C60" s="94">
        <v>3.0</v>
      </c>
      <c r="D60" s="94">
        <v>2.0</v>
      </c>
      <c r="E60" s="94"/>
      <c r="F60" s="94">
        <v>46.0</v>
      </c>
      <c r="G60" s="94">
        <v>213.0</v>
      </c>
      <c r="H60" s="94"/>
      <c r="I60" s="94">
        <v>51.0</v>
      </c>
      <c r="J60" s="94">
        <v>25.0</v>
      </c>
      <c r="K60" s="94"/>
      <c r="L60" s="94">
        <v>20.0</v>
      </c>
      <c r="M60" s="94">
        <v>25.0</v>
      </c>
      <c r="N60" s="94">
        <v>4.0</v>
      </c>
      <c r="O60" s="94">
        <v>5.0</v>
      </c>
      <c r="P60" s="5"/>
      <c r="Q60" s="5"/>
      <c r="R60" s="5"/>
      <c r="S60" s="5"/>
    </row>
    <row r="61" ht="15.75" customHeight="1">
      <c r="A61" s="94">
        <v>3.0</v>
      </c>
      <c r="B61" s="94">
        <v>5.0</v>
      </c>
      <c r="C61" s="94">
        <v>1.0</v>
      </c>
      <c r="D61" s="94">
        <v>3.0</v>
      </c>
      <c r="E61" s="94"/>
      <c r="F61" s="94">
        <v>92.0</v>
      </c>
      <c r="G61" s="94">
        <v>71.0</v>
      </c>
      <c r="H61" s="94"/>
      <c r="I61" s="94">
        <v>51.0</v>
      </c>
      <c r="J61" s="94">
        <v>150.0</v>
      </c>
      <c r="K61" s="94"/>
      <c r="L61" s="94">
        <v>40.0</v>
      </c>
      <c r="M61" s="94">
        <v>20.0</v>
      </c>
      <c r="N61" s="94">
        <v>2.0</v>
      </c>
      <c r="O61" s="94">
        <v>10.0</v>
      </c>
      <c r="P61" s="5"/>
      <c r="Q61" s="5"/>
      <c r="R61" s="5"/>
      <c r="S61" s="5"/>
    </row>
    <row r="62" ht="15.75" customHeight="1">
      <c r="A62" s="94">
        <v>3.0</v>
      </c>
      <c r="B62" s="94">
        <v>2.0</v>
      </c>
      <c r="C62" s="94">
        <v>1.0</v>
      </c>
      <c r="D62" s="94">
        <v>30.0</v>
      </c>
      <c r="E62" s="93"/>
      <c r="F62" s="93"/>
      <c r="G62" s="94">
        <v>71.0</v>
      </c>
      <c r="H62" s="94"/>
      <c r="I62" s="94">
        <v>102.0</v>
      </c>
      <c r="J62" s="94">
        <v>15.0</v>
      </c>
      <c r="K62" s="94"/>
      <c r="L62" s="94">
        <v>25.0</v>
      </c>
      <c r="M62" s="94">
        <v>200.0</v>
      </c>
      <c r="N62" s="94">
        <v>1.0</v>
      </c>
      <c r="O62" s="94">
        <v>5.0</v>
      </c>
      <c r="P62" s="5"/>
      <c r="Q62" s="5"/>
      <c r="R62" s="5"/>
      <c r="S62" s="5"/>
    </row>
    <row r="63" ht="15.75" customHeight="1">
      <c r="A63" s="94">
        <v>4.0</v>
      </c>
      <c r="B63" s="94">
        <v>1.0</v>
      </c>
      <c r="C63" s="94">
        <v>8.0</v>
      </c>
      <c r="D63" s="94">
        <v>3.0</v>
      </c>
      <c r="E63" s="93"/>
      <c r="F63" s="93"/>
      <c r="G63" s="94">
        <v>142.0</v>
      </c>
      <c r="H63" s="94"/>
      <c r="I63" s="94">
        <v>51.0</v>
      </c>
      <c r="J63" s="94">
        <v>200.0</v>
      </c>
      <c r="K63" s="94"/>
      <c r="L63" s="94">
        <v>15.0</v>
      </c>
      <c r="M63" s="94">
        <v>10.0</v>
      </c>
      <c r="N63" s="94">
        <v>1.0</v>
      </c>
      <c r="O63" s="94">
        <v>10.0</v>
      </c>
      <c r="P63" s="5"/>
      <c r="Q63" s="5"/>
      <c r="R63" s="5"/>
      <c r="S63" s="5"/>
    </row>
    <row r="64" ht="15.75" customHeight="1">
      <c r="A64" s="94">
        <v>12.0</v>
      </c>
      <c r="B64" s="94">
        <v>2.0</v>
      </c>
      <c r="C64" s="94">
        <v>12.0</v>
      </c>
      <c r="D64" s="94">
        <v>4.0</v>
      </c>
      <c r="E64" s="93"/>
      <c r="F64" s="93"/>
      <c r="G64" s="94">
        <v>142.0</v>
      </c>
      <c r="H64" s="94"/>
      <c r="I64" s="94">
        <v>51.0</v>
      </c>
      <c r="J64" s="94">
        <v>30.0</v>
      </c>
      <c r="K64" s="94"/>
      <c r="L64" s="94">
        <v>50.0</v>
      </c>
      <c r="M64" s="94">
        <v>100.0</v>
      </c>
      <c r="N64" s="94">
        <v>10.0</v>
      </c>
      <c r="O64" s="94">
        <v>10.0</v>
      </c>
      <c r="P64" s="5"/>
      <c r="Q64" s="5"/>
      <c r="R64" s="5"/>
      <c r="S64" s="5"/>
    </row>
    <row r="65" ht="15.75" customHeight="1">
      <c r="A65" s="94">
        <v>2.0</v>
      </c>
      <c r="B65" s="94">
        <v>3.0</v>
      </c>
      <c r="C65" s="94">
        <v>1.0</v>
      </c>
      <c r="D65" s="94">
        <v>2.0</v>
      </c>
      <c r="E65" s="93"/>
      <c r="F65" s="93"/>
      <c r="G65" s="94">
        <v>71.0</v>
      </c>
      <c r="H65" s="94"/>
      <c r="I65" s="94">
        <v>51.0</v>
      </c>
      <c r="J65" s="94">
        <v>25.0</v>
      </c>
      <c r="K65" s="94"/>
      <c r="L65" s="94">
        <v>100.0</v>
      </c>
      <c r="M65" s="94">
        <v>25.0</v>
      </c>
      <c r="N65" s="94">
        <v>8.0</v>
      </c>
      <c r="O65" s="94">
        <v>5.0</v>
      </c>
      <c r="P65" s="5"/>
      <c r="Q65" s="5"/>
      <c r="R65" s="5"/>
      <c r="S65" s="5"/>
    </row>
    <row r="66" ht="15.75" customHeight="1">
      <c r="A66" s="94">
        <v>3.0</v>
      </c>
      <c r="B66" s="94">
        <v>12.0</v>
      </c>
      <c r="C66" s="94">
        <v>3.0</v>
      </c>
      <c r="D66" s="94">
        <v>4.0</v>
      </c>
      <c r="E66" s="93"/>
      <c r="F66" s="93"/>
      <c r="G66" s="94">
        <v>285.0</v>
      </c>
      <c r="H66" s="94"/>
      <c r="I66" s="94">
        <v>51.0</v>
      </c>
      <c r="J66" s="94">
        <v>40.0</v>
      </c>
      <c r="K66" s="94"/>
      <c r="L66" s="94">
        <v>150.0</v>
      </c>
      <c r="M66" s="94">
        <v>160.0</v>
      </c>
      <c r="N66" s="94">
        <v>5.0</v>
      </c>
      <c r="O66" s="94">
        <v>6.0</v>
      </c>
      <c r="P66" s="5"/>
      <c r="Q66" s="5"/>
      <c r="R66" s="5"/>
      <c r="S66" s="5"/>
    </row>
    <row r="67" ht="15.75" customHeight="1">
      <c r="A67" s="94">
        <v>3.0</v>
      </c>
      <c r="B67" s="94">
        <v>10.0</v>
      </c>
      <c r="C67" s="94">
        <v>1.0</v>
      </c>
      <c r="D67" s="94">
        <v>5.0</v>
      </c>
      <c r="E67" s="93"/>
      <c r="F67" s="93"/>
      <c r="G67" s="94">
        <v>72.0</v>
      </c>
      <c r="H67" s="94"/>
      <c r="I67" s="94">
        <v>153.0</v>
      </c>
      <c r="J67" s="94">
        <v>20.0</v>
      </c>
      <c r="K67" s="94"/>
      <c r="L67" s="94">
        <v>15.0</v>
      </c>
      <c r="M67" s="94">
        <v>55.0</v>
      </c>
      <c r="N67" s="94">
        <v>5.0</v>
      </c>
      <c r="O67" s="94">
        <v>15.0</v>
      </c>
      <c r="P67" s="5"/>
      <c r="Q67" s="5"/>
      <c r="R67" s="5"/>
      <c r="S67" s="5"/>
    </row>
    <row r="68" ht="15.75" customHeight="1">
      <c r="A68" s="94">
        <v>2.0</v>
      </c>
      <c r="B68" s="94">
        <v>30.0</v>
      </c>
      <c r="C68" s="94">
        <v>3.0</v>
      </c>
      <c r="D68" s="94">
        <v>20.0</v>
      </c>
      <c r="E68" s="93"/>
      <c r="F68" s="93"/>
      <c r="G68" s="94">
        <v>214.0</v>
      </c>
      <c r="H68" s="94"/>
      <c r="I68" s="94">
        <v>102.0</v>
      </c>
      <c r="J68" s="94">
        <v>25.0</v>
      </c>
      <c r="K68" s="94"/>
      <c r="L68" s="94">
        <v>120.0</v>
      </c>
      <c r="M68" s="94">
        <v>160.0</v>
      </c>
      <c r="N68" s="94">
        <v>10.0</v>
      </c>
      <c r="O68" s="94">
        <v>5.0</v>
      </c>
      <c r="P68" s="5"/>
      <c r="Q68" s="5"/>
      <c r="R68" s="5"/>
      <c r="S68" s="5"/>
    </row>
    <row r="69" ht="15.75" customHeight="1">
      <c r="A69" s="94">
        <v>2.0</v>
      </c>
      <c r="B69" s="94">
        <v>2.0</v>
      </c>
      <c r="C69" s="94">
        <v>2.0</v>
      </c>
      <c r="D69" s="94">
        <v>30.0</v>
      </c>
      <c r="E69" s="93"/>
      <c r="F69" s="93"/>
      <c r="G69" s="94">
        <v>71.0</v>
      </c>
      <c r="H69" s="94"/>
      <c r="I69" s="94">
        <v>51.0</v>
      </c>
      <c r="J69" s="94">
        <v>160.0</v>
      </c>
      <c r="K69" s="94"/>
      <c r="L69" s="94">
        <v>25.0</v>
      </c>
      <c r="M69" s="94">
        <v>170.0</v>
      </c>
      <c r="N69" s="94">
        <v>2.0</v>
      </c>
      <c r="O69" s="94">
        <v>5.0</v>
      </c>
      <c r="P69" s="5"/>
      <c r="Q69" s="5"/>
      <c r="R69" s="5"/>
      <c r="S69" s="5"/>
    </row>
    <row r="70" ht="15.75" customHeight="1">
      <c r="A70" s="94">
        <v>2.0</v>
      </c>
      <c r="B70" s="94">
        <v>3.0</v>
      </c>
      <c r="C70" s="94">
        <v>3.0</v>
      </c>
      <c r="D70" s="94">
        <v>45.0</v>
      </c>
      <c r="E70" s="93"/>
      <c r="F70" s="93"/>
      <c r="G70" s="94">
        <v>214.0</v>
      </c>
      <c r="H70" s="94"/>
      <c r="I70" s="94">
        <v>204.0</v>
      </c>
      <c r="J70" s="94">
        <v>220.0</v>
      </c>
      <c r="K70" s="94"/>
      <c r="L70" s="94">
        <v>60.0</v>
      </c>
      <c r="M70" s="94">
        <v>48.0</v>
      </c>
      <c r="N70" s="94">
        <v>5.0</v>
      </c>
      <c r="O70" s="94">
        <v>20.0</v>
      </c>
      <c r="P70" s="5"/>
      <c r="Q70" s="5"/>
      <c r="R70" s="5"/>
      <c r="S70" s="5"/>
    </row>
    <row r="71" ht="15.75" customHeight="1">
      <c r="A71" s="94">
        <v>2.0</v>
      </c>
      <c r="B71" s="94">
        <v>5.0</v>
      </c>
      <c r="C71" s="94">
        <v>4.0</v>
      </c>
      <c r="D71" s="94">
        <v>25.0</v>
      </c>
      <c r="E71" s="93"/>
      <c r="F71" s="93"/>
      <c r="G71" s="94">
        <v>71.0</v>
      </c>
      <c r="H71" s="94"/>
      <c r="I71" s="94">
        <v>102.0</v>
      </c>
      <c r="J71" s="94">
        <v>50.0</v>
      </c>
      <c r="K71" s="94"/>
      <c r="L71" s="94">
        <v>20.0</v>
      </c>
      <c r="M71" s="94">
        <v>30.0</v>
      </c>
      <c r="N71" s="94">
        <v>10.0</v>
      </c>
      <c r="O71" s="94">
        <v>15.0</v>
      </c>
      <c r="P71" s="5"/>
      <c r="Q71" s="5"/>
      <c r="R71" s="5"/>
      <c r="S71" s="5"/>
    </row>
    <row r="72" ht="15.75" customHeight="1">
      <c r="A72" s="94">
        <v>10.0</v>
      </c>
      <c r="B72" s="94">
        <v>25.0</v>
      </c>
      <c r="C72" s="94">
        <v>1.0</v>
      </c>
      <c r="D72" s="93"/>
      <c r="E72" s="93"/>
      <c r="F72" s="93"/>
      <c r="G72" s="94">
        <v>71.0</v>
      </c>
      <c r="H72" s="94"/>
      <c r="I72" s="94">
        <v>51.0</v>
      </c>
      <c r="J72" s="94">
        <v>200.0</v>
      </c>
      <c r="K72" s="94"/>
      <c r="L72" s="94">
        <v>140.0</v>
      </c>
      <c r="M72" s="94">
        <v>200.0</v>
      </c>
      <c r="N72" s="94">
        <v>10.0</v>
      </c>
      <c r="O72" s="94">
        <v>30.0</v>
      </c>
      <c r="P72" s="5"/>
      <c r="Q72" s="5"/>
      <c r="R72" s="5"/>
      <c r="S72" s="5"/>
    </row>
    <row r="73" ht="15.75" customHeight="1">
      <c r="A73" s="94">
        <v>20.0</v>
      </c>
      <c r="B73" s="94">
        <v>5.0</v>
      </c>
      <c r="C73" s="94">
        <v>10.0</v>
      </c>
      <c r="D73" s="93"/>
      <c r="E73" s="93"/>
      <c r="F73" s="93"/>
      <c r="G73" s="94">
        <v>71.0</v>
      </c>
      <c r="H73" s="94"/>
      <c r="I73" s="94">
        <v>255.0</v>
      </c>
      <c r="J73" s="94">
        <v>150.0</v>
      </c>
      <c r="K73" s="94"/>
      <c r="L73" s="94">
        <v>150.0</v>
      </c>
      <c r="M73" s="94">
        <v>200.0</v>
      </c>
      <c r="N73" s="94">
        <v>2.0</v>
      </c>
      <c r="O73" s="94">
        <v>5.0</v>
      </c>
      <c r="P73" s="5"/>
      <c r="Q73" s="5"/>
      <c r="R73" s="5"/>
      <c r="S73" s="5"/>
    </row>
    <row r="74" ht="15.75" customHeight="1">
      <c r="A74" s="94">
        <v>30.0</v>
      </c>
      <c r="B74" s="94">
        <v>20.0</v>
      </c>
      <c r="C74" s="94">
        <v>12.0</v>
      </c>
      <c r="D74" s="93"/>
      <c r="E74" s="93"/>
      <c r="F74" s="93"/>
      <c r="G74" s="94">
        <v>142.0</v>
      </c>
      <c r="H74" s="94"/>
      <c r="I74" s="94">
        <v>153.0</v>
      </c>
      <c r="J74" s="94">
        <v>80.0</v>
      </c>
      <c r="K74" s="94"/>
      <c r="L74" s="94">
        <v>100.0</v>
      </c>
      <c r="M74" s="94">
        <v>15.0</v>
      </c>
      <c r="N74" s="94">
        <v>10.0</v>
      </c>
      <c r="O74" s="94">
        <v>4.0</v>
      </c>
      <c r="P74" s="5"/>
      <c r="Q74" s="5"/>
      <c r="R74" s="5"/>
      <c r="S74" s="5"/>
    </row>
    <row r="75" ht="15.75" customHeight="1">
      <c r="A75" s="94">
        <v>10.0</v>
      </c>
      <c r="B75" s="94">
        <v>20.0</v>
      </c>
      <c r="C75" s="94">
        <v>12.0</v>
      </c>
      <c r="D75" s="93"/>
      <c r="E75" s="93"/>
      <c r="F75" s="93"/>
      <c r="G75" s="94">
        <v>142.0</v>
      </c>
      <c r="H75" s="94"/>
      <c r="I75" s="94">
        <v>52.0</v>
      </c>
      <c r="J75" s="94">
        <v>120.0</v>
      </c>
      <c r="K75" s="94"/>
      <c r="L75" s="94">
        <v>300.0</v>
      </c>
      <c r="M75" s="94">
        <v>25.0</v>
      </c>
      <c r="N75" s="94">
        <v>6.0</v>
      </c>
      <c r="O75" s="94">
        <v>5.0</v>
      </c>
      <c r="P75" s="5"/>
      <c r="Q75" s="5"/>
      <c r="R75" s="5"/>
      <c r="S75" s="5"/>
    </row>
    <row r="76" ht="15.75" customHeight="1">
      <c r="A76" s="94">
        <v>3.0</v>
      </c>
      <c r="B76" s="94">
        <v>1.0</v>
      </c>
      <c r="C76" s="94">
        <v>40.0</v>
      </c>
      <c r="D76" s="93"/>
      <c r="E76" s="93"/>
      <c r="F76" s="93"/>
      <c r="G76" s="94">
        <v>71.0</v>
      </c>
      <c r="H76" s="94"/>
      <c r="I76" s="94">
        <v>151.0</v>
      </c>
      <c r="J76" s="94">
        <v>50.0</v>
      </c>
      <c r="K76" s="94"/>
      <c r="L76" s="94">
        <v>150.0</v>
      </c>
      <c r="M76" s="94">
        <v>25.0</v>
      </c>
      <c r="N76" s="94">
        <v>8.0</v>
      </c>
      <c r="O76" s="94">
        <v>8.0</v>
      </c>
      <c r="P76" s="5"/>
      <c r="Q76" s="5"/>
      <c r="R76" s="5"/>
      <c r="S76" s="5"/>
    </row>
    <row r="77" ht="15.75" customHeight="1">
      <c r="A77" s="94">
        <v>3.0</v>
      </c>
      <c r="B77" s="94">
        <v>10.0</v>
      </c>
      <c r="C77" s="94">
        <v>2.0</v>
      </c>
      <c r="D77" s="93"/>
      <c r="E77" s="93"/>
      <c r="F77" s="93"/>
      <c r="G77" s="94">
        <v>71.0</v>
      </c>
      <c r="H77" s="94"/>
      <c r="I77" s="94">
        <v>255.0</v>
      </c>
      <c r="J77" s="94">
        <v>110.0</v>
      </c>
      <c r="K77" s="94"/>
      <c r="L77" s="94">
        <v>300.0</v>
      </c>
      <c r="M77" s="94">
        <v>25.0</v>
      </c>
      <c r="N77" s="94">
        <v>10.0</v>
      </c>
      <c r="O77" s="94">
        <v>7.0</v>
      </c>
      <c r="P77" s="5"/>
      <c r="Q77" s="5"/>
      <c r="R77" s="5"/>
      <c r="S77" s="5"/>
    </row>
    <row r="78" ht="15.75" customHeight="1">
      <c r="A78" s="94">
        <v>2.0</v>
      </c>
      <c r="B78" s="94">
        <v>2.0</v>
      </c>
      <c r="C78" s="94">
        <v>1.0</v>
      </c>
      <c r="D78" s="93"/>
      <c r="E78" s="93"/>
      <c r="F78" s="93"/>
      <c r="G78" s="94">
        <v>71.0</v>
      </c>
      <c r="H78" s="94"/>
      <c r="I78" s="94">
        <v>153.0</v>
      </c>
      <c r="J78" s="94">
        <v>130.0</v>
      </c>
      <c r="K78" s="94"/>
      <c r="L78" s="94">
        <v>80.0</v>
      </c>
      <c r="M78" s="94">
        <v>22.0</v>
      </c>
      <c r="N78" s="94">
        <v>20.0</v>
      </c>
      <c r="O78" s="94">
        <v>25.0</v>
      </c>
      <c r="P78" s="5"/>
      <c r="Q78" s="5"/>
      <c r="R78" s="5"/>
      <c r="S78" s="5"/>
    </row>
    <row r="79" ht="15.75" customHeight="1">
      <c r="A79" s="94">
        <v>5.0</v>
      </c>
      <c r="B79" s="94">
        <v>2.0</v>
      </c>
      <c r="C79" s="94">
        <v>12.0</v>
      </c>
      <c r="D79" s="93"/>
      <c r="E79" s="93"/>
      <c r="F79" s="93"/>
      <c r="G79" s="94">
        <v>71.0</v>
      </c>
      <c r="H79" s="94"/>
      <c r="I79" s="94">
        <v>561.0</v>
      </c>
      <c r="J79" s="94">
        <v>50.0</v>
      </c>
      <c r="K79" s="94"/>
      <c r="L79" s="94">
        <v>20.0</v>
      </c>
      <c r="M79" s="94">
        <v>20.0</v>
      </c>
      <c r="N79" s="94">
        <v>6.0</v>
      </c>
      <c r="O79" s="94">
        <v>2.0</v>
      </c>
      <c r="P79" s="5"/>
      <c r="Q79" s="5"/>
      <c r="R79" s="5"/>
      <c r="S79" s="5"/>
    </row>
    <row r="80" ht="15.75" customHeight="1">
      <c r="A80" s="94">
        <v>5.0</v>
      </c>
      <c r="B80" s="94">
        <v>20.0</v>
      </c>
      <c r="C80" s="94">
        <v>30.0</v>
      </c>
      <c r="D80" s="93"/>
      <c r="E80" s="93"/>
      <c r="F80" s="93"/>
      <c r="G80" s="94">
        <v>72.0</v>
      </c>
      <c r="H80" s="94"/>
      <c r="I80" s="94">
        <v>102.0</v>
      </c>
      <c r="J80" s="94">
        <v>50.0</v>
      </c>
      <c r="K80" s="94"/>
      <c r="L80" s="94">
        <v>100.0</v>
      </c>
      <c r="M80" s="94">
        <v>24.0</v>
      </c>
      <c r="N80" s="94">
        <v>5.0</v>
      </c>
      <c r="O80" s="94">
        <v>30.0</v>
      </c>
      <c r="P80" s="5"/>
      <c r="Q80" s="5"/>
      <c r="R80" s="5"/>
      <c r="S80" s="5"/>
    </row>
    <row r="81" ht="15.75" customHeight="1">
      <c r="A81" s="94">
        <v>1.0</v>
      </c>
      <c r="B81" s="94">
        <v>8.0</v>
      </c>
      <c r="C81" s="94">
        <v>40.0</v>
      </c>
      <c r="D81" s="93"/>
      <c r="E81" s="93"/>
      <c r="F81" s="93"/>
      <c r="G81" s="94">
        <v>71.0</v>
      </c>
      <c r="H81" s="94"/>
      <c r="I81" s="94">
        <v>51.0</v>
      </c>
      <c r="J81" s="94">
        <v>25.0</v>
      </c>
      <c r="K81" s="94"/>
      <c r="L81" s="94">
        <v>300.0</v>
      </c>
      <c r="M81" s="94">
        <v>70.0</v>
      </c>
      <c r="N81" s="94">
        <v>6.0</v>
      </c>
      <c r="O81" s="94">
        <v>10.0</v>
      </c>
      <c r="P81" s="5"/>
      <c r="Q81" s="5"/>
      <c r="R81" s="5"/>
      <c r="S81" s="5"/>
    </row>
    <row r="82" ht="15.75" customHeight="1">
      <c r="A82" s="94">
        <v>5.0</v>
      </c>
      <c r="B82" s="94">
        <v>2.0</v>
      </c>
      <c r="C82" s="94">
        <v>6.0</v>
      </c>
      <c r="D82" s="93"/>
      <c r="E82" s="93"/>
      <c r="F82" s="93"/>
      <c r="G82" s="94">
        <v>142.0</v>
      </c>
      <c r="H82" s="94"/>
      <c r="I82" s="94">
        <v>51.0</v>
      </c>
      <c r="J82" s="94">
        <v>200.0</v>
      </c>
      <c r="K82" s="94"/>
      <c r="L82" s="94">
        <v>140.0</v>
      </c>
      <c r="M82" s="94">
        <v>150.0</v>
      </c>
      <c r="N82" s="94">
        <v>10.0</v>
      </c>
      <c r="O82" s="94">
        <v>10.0</v>
      </c>
      <c r="P82" s="5"/>
      <c r="Q82" s="5"/>
      <c r="R82" s="5"/>
      <c r="S82" s="5"/>
    </row>
    <row r="83" ht="15.75" customHeight="1">
      <c r="A83" s="94">
        <v>25.0</v>
      </c>
      <c r="B83" s="94">
        <v>50.0</v>
      </c>
      <c r="C83" s="94">
        <v>18.0</v>
      </c>
      <c r="D83" s="93"/>
      <c r="E83" s="93"/>
      <c r="F83" s="93"/>
      <c r="G83" s="94">
        <v>214.0</v>
      </c>
      <c r="H83" s="94"/>
      <c r="I83" s="94">
        <v>102.0</v>
      </c>
      <c r="J83" s="94">
        <v>120.0</v>
      </c>
      <c r="K83" s="94"/>
      <c r="L83" s="94">
        <v>70.0</v>
      </c>
      <c r="M83" s="94">
        <v>20.0</v>
      </c>
      <c r="N83" s="94">
        <v>20.0</v>
      </c>
      <c r="O83" s="94">
        <v>25.0</v>
      </c>
      <c r="P83" s="5"/>
      <c r="Q83" s="5"/>
      <c r="R83" s="5"/>
      <c r="S83" s="5"/>
    </row>
    <row r="84" ht="15.75" customHeight="1">
      <c r="A84" s="94">
        <v>3.0</v>
      </c>
      <c r="B84" s="94">
        <v>50.0</v>
      </c>
      <c r="C84" s="94">
        <v>5.0</v>
      </c>
      <c r="D84" s="93"/>
      <c r="E84" s="93"/>
      <c r="F84" s="93"/>
      <c r="G84" s="94">
        <v>71.0</v>
      </c>
      <c r="H84" s="94"/>
      <c r="I84" s="94">
        <v>51.0</v>
      </c>
      <c r="J84" s="94">
        <v>100.0</v>
      </c>
      <c r="K84" s="94"/>
      <c r="L84" s="94">
        <v>75.0</v>
      </c>
      <c r="M84" s="94">
        <v>20.0</v>
      </c>
      <c r="N84" s="94">
        <v>6.0</v>
      </c>
      <c r="O84" s="94">
        <v>5.0</v>
      </c>
      <c r="P84" s="5"/>
      <c r="Q84" s="5"/>
      <c r="R84" s="5"/>
      <c r="S84" s="5"/>
    </row>
    <row r="85" ht="15.75" customHeight="1">
      <c r="A85" s="94">
        <v>20.0</v>
      </c>
      <c r="B85" s="94">
        <v>60.0</v>
      </c>
      <c r="C85" s="94">
        <v>2.0</v>
      </c>
      <c r="D85" s="93"/>
      <c r="E85" s="93"/>
      <c r="F85" s="93"/>
      <c r="G85" s="94">
        <v>213.0</v>
      </c>
      <c r="H85" s="94"/>
      <c r="I85" s="94">
        <v>51.0</v>
      </c>
      <c r="J85" s="94">
        <v>100.0</v>
      </c>
      <c r="K85" s="94"/>
      <c r="L85" s="94">
        <v>150.0</v>
      </c>
      <c r="M85" s="94">
        <v>300.0</v>
      </c>
      <c r="N85" s="94">
        <v>1.0</v>
      </c>
      <c r="O85" s="94">
        <v>20.0</v>
      </c>
      <c r="P85" s="5"/>
      <c r="Q85" s="5"/>
      <c r="R85" s="5"/>
      <c r="S85" s="5"/>
    </row>
    <row r="86" ht="15.75" customHeight="1">
      <c r="A86" s="94">
        <v>4.0</v>
      </c>
      <c r="B86" s="94">
        <v>30.0</v>
      </c>
      <c r="C86" s="94">
        <v>10.0</v>
      </c>
      <c r="D86" s="93"/>
      <c r="E86" s="93"/>
      <c r="F86" s="93"/>
      <c r="G86" s="94">
        <v>142.0</v>
      </c>
      <c r="H86" s="94"/>
      <c r="I86" s="94">
        <v>102.0</v>
      </c>
      <c r="J86" s="94">
        <v>20.0</v>
      </c>
      <c r="K86" s="94"/>
      <c r="L86" s="94">
        <v>18.0</v>
      </c>
      <c r="M86" s="94">
        <v>75.0</v>
      </c>
      <c r="N86" s="94">
        <v>5.0</v>
      </c>
      <c r="O86" s="94">
        <v>10.0</v>
      </c>
      <c r="P86" s="5"/>
      <c r="Q86" s="5"/>
      <c r="R86" s="5"/>
      <c r="S86" s="5"/>
    </row>
    <row r="87" ht="15.75" customHeight="1">
      <c r="A87" s="94">
        <v>1.0</v>
      </c>
      <c r="B87" s="94">
        <v>10.0</v>
      </c>
      <c r="C87" s="94">
        <v>12.0</v>
      </c>
      <c r="D87" s="93"/>
      <c r="E87" s="93"/>
      <c r="F87" s="93"/>
      <c r="G87" s="94">
        <v>143.0</v>
      </c>
      <c r="H87" s="94"/>
      <c r="I87" s="94">
        <v>51.0</v>
      </c>
      <c r="J87" s="94">
        <v>150.0</v>
      </c>
      <c r="K87" s="94"/>
      <c r="L87" s="94">
        <v>100.0</v>
      </c>
      <c r="M87" s="94">
        <v>25.0</v>
      </c>
      <c r="N87" s="94">
        <v>6.0</v>
      </c>
      <c r="O87" s="94">
        <v>3.0</v>
      </c>
      <c r="P87" s="5"/>
      <c r="Q87" s="5"/>
      <c r="R87" s="5"/>
      <c r="S87" s="5"/>
    </row>
    <row r="88" ht="15.75" customHeight="1">
      <c r="A88" s="94">
        <v>4.0</v>
      </c>
      <c r="B88" s="94">
        <v>4.0</v>
      </c>
      <c r="C88" s="94">
        <v>10.0</v>
      </c>
      <c r="D88" s="93"/>
      <c r="E88" s="93"/>
      <c r="F88" s="93"/>
      <c r="G88" s="94">
        <v>71.0</v>
      </c>
      <c r="H88" s="94"/>
      <c r="I88" s="94">
        <v>52.0</v>
      </c>
      <c r="J88" s="94">
        <v>200.0</v>
      </c>
      <c r="K88" s="94"/>
      <c r="L88" s="94">
        <v>20.0</v>
      </c>
      <c r="M88" s="94">
        <v>200.0</v>
      </c>
      <c r="N88" s="94">
        <v>20.0</v>
      </c>
      <c r="O88" s="94">
        <v>20.0</v>
      </c>
      <c r="P88" s="5"/>
      <c r="Q88" s="5"/>
      <c r="R88" s="5"/>
      <c r="S88" s="5"/>
    </row>
    <row r="89" ht="15.75" customHeight="1">
      <c r="A89" s="94">
        <v>2.0</v>
      </c>
      <c r="B89" s="94">
        <v>25.0</v>
      </c>
      <c r="C89" s="94">
        <v>14.0</v>
      </c>
      <c r="D89" s="93"/>
      <c r="E89" s="93"/>
      <c r="F89" s="93"/>
      <c r="G89" s="94">
        <v>143.0</v>
      </c>
      <c r="H89" s="94"/>
      <c r="I89" s="94">
        <v>102.0</v>
      </c>
      <c r="J89" s="94">
        <v>20.0</v>
      </c>
      <c r="K89" s="94"/>
      <c r="L89" s="94">
        <v>20.0</v>
      </c>
      <c r="M89" s="94">
        <v>150.0</v>
      </c>
      <c r="N89" s="94">
        <v>6.0</v>
      </c>
      <c r="O89" s="94">
        <v>10.0</v>
      </c>
      <c r="P89" s="5"/>
      <c r="Q89" s="5"/>
      <c r="R89" s="5"/>
      <c r="S89" s="5"/>
    </row>
    <row r="90" ht="15.75" customHeight="1">
      <c r="A90" s="94">
        <v>2.0</v>
      </c>
      <c r="B90" s="94">
        <v>10.0</v>
      </c>
      <c r="C90" s="94">
        <v>2.0</v>
      </c>
      <c r="D90" s="93"/>
      <c r="E90" s="93"/>
      <c r="F90" s="93"/>
      <c r="G90" s="94">
        <v>71.0</v>
      </c>
      <c r="H90" s="94"/>
      <c r="I90" s="94">
        <v>102.0</v>
      </c>
      <c r="J90" s="94">
        <v>25.0</v>
      </c>
      <c r="K90" s="94"/>
      <c r="L90" s="94">
        <v>50.0</v>
      </c>
      <c r="M90" s="94">
        <v>15.0</v>
      </c>
      <c r="N90" s="94">
        <v>6.0</v>
      </c>
      <c r="O90" s="94">
        <v>6.0</v>
      </c>
      <c r="P90" s="5"/>
      <c r="Q90" s="5"/>
      <c r="R90" s="5"/>
      <c r="S90" s="5"/>
    </row>
    <row r="91" ht="15.75" customHeight="1">
      <c r="A91" s="94">
        <v>10.0</v>
      </c>
      <c r="B91" s="94">
        <v>2.0</v>
      </c>
      <c r="C91" s="94">
        <v>3.0</v>
      </c>
      <c r="D91" s="93"/>
      <c r="E91" s="93"/>
      <c r="F91" s="93"/>
      <c r="G91" s="94">
        <v>71.0</v>
      </c>
      <c r="H91" s="94"/>
      <c r="I91" s="94">
        <v>52.0</v>
      </c>
      <c r="J91" s="94">
        <v>130.0</v>
      </c>
      <c r="K91" s="94"/>
      <c r="L91" s="94">
        <v>200.0</v>
      </c>
      <c r="M91" s="94">
        <v>40.0</v>
      </c>
      <c r="N91" s="94">
        <v>10.0</v>
      </c>
      <c r="O91" s="94">
        <v>12.0</v>
      </c>
      <c r="P91" s="5"/>
      <c r="Q91" s="5"/>
      <c r="R91" s="5"/>
      <c r="S91" s="5"/>
    </row>
    <row r="92" ht="15.75" customHeight="1">
      <c r="A92" s="94">
        <v>12.0</v>
      </c>
      <c r="B92" s="94">
        <v>12.0</v>
      </c>
      <c r="C92" s="94">
        <v>100.0</v>
      </c>
      <c r="D92" s="93"/>
      <c r="E92" s="93"/>
      <c r="F92" s="93"/>
      <c r="G92" s="94">
        <v>143.0</v>
      </c>
      <c r="H92" s="94"/>
      <c r="I92" s="94">
        <v>52.0</v>
      </c>
      <c r="J92" s="94">
        <v>50.0</v>
      </c>
      <c r="K92" s="94"/>
      <c r="L92" s="94">
        <v>300.0</v>
      </c>
      <c r="M92" s="94">
        <v>400.0</v>
      </c>
      <c r="N92" s="94">
        <v>8.0</v>
      </c>
      <c r="O92" s="94">
        <v>10.0</v>
      </c>
      <c r="P92" s="5"/>
      <c r="Q92" s="5"/>
      <c r="R92" s="5"/>
      <c r="S92" s="5"/>
    </row>
    <row r="93" ht="15.75" customHeight="1">
      <c r="A93" s="94">
        <v>12.0</v>
      </c>
      <c r="B93" s="94">
        <v>1.0</v>
      </c>
      <c r="C93" s="94">
        <v>2.0</v>
      </c>
      <c r="D93" s="93"/>
      <c r="E93" s="93"/>
      <c r="F93" s="93"/>
      <c r="G93" s="94">
        <v>71.0</v>
      </c>
      <c r="H93" s="94"/>
      <c r="I93" s="94">
        <v>102.0</v>
      </c>
      <c r="J93" s="94">
        <v>150.0</v>
      </c>
      <c r="K93" s="94"/>
      <c r="L93" s="94">
        <v>24.0</v>
      </c>
      <c r="M93" s="94">
        <v>150.0</v>
      </c>
      <c r="N93" s="94">
        <v>2.0</v>
      </c>
      <c r="O93" s="94">
        <v>10.0</v>
      </c>
      <c r="P93" s="5"/>
      <c r="Q93" s="5"/>
      <c r="R93" s="5"/>
      <c r="S93" s="5"/>
    </row>
    <row r="94" ht="15.75" customHeight="1">
      <c r="A94" s="94">
        <v>12.0</v>
      </c>
      <c r="B94" s="94">
        <v>18.0</v>
      </c>
      <c r="C94" s="94">
        <v>3.0</v>
      </c>
      <c r="D94" s="93"/>
      <c r="E94" s="93"/>
      <c r="F94" s="93"/>
      <c r="G94" s="94">
        <v>71.0</v>
      </c>
      <c r="H94" s="94"/>
      <c r="I94" s="94">
        <v>102.0</v>
      </c>
      <c r="J94" s="94">
        <v>250.0</v>
      </c>
      <c r="K94" s="94"/>
      <c r="L94" s="94">
        <v>120.0</v>
      </c>
      <c r="M94" s="94">
        <v>150.0</v>
      </c>
      <c r="N94" s="94">
        <v>5.0</v>
      </c>
      <c r="O94" s="94">
        <v>25.0</v>
      </c>
      <c r="P94" s="5"/>
      <c r="Q94" s="5"/>
      <c r="R94" s="5"/>
      <c r="S94" s="5"/>
    </row>
    <row r="95" ht="15.75" customHeight="1">
      <c r="A95" s="94">
        <v>12.0</v>
      </c>
      <c r="B95" s="94">
        <v>80.0</v>
      </c>
      <c r="C95" s="94">
        <v>3.0</v>
      </c>
      <c r="D95" s="93"/>
      <c r="E95" s="93"/>
      <c r="F95" s="93"/>
      <c r="G95" s="94">
        <v>71.0</v>
      </c>
      <c r="H95" s="94"/>
      <c r="I95" s="94">
        <v>50.0</v>
      </c>
      <c r="J95" s="94">
        <v>20.0</v>
      </c>
      <c r="K95" s="94"/>
      <c r="L95" s="94">
        <v>220.0</v>
      </c>
      <c r="M95" s="94">
        <v>200.0</v>
      </c>
      <c r="N95" s="94">
        <v>10.0</v>
      </c>
      <c r="O95" s="94">
        <v>10.0</v>
      </c>
      <c r="P95" s="5"/>
      <c r="Q95" s="5"/>
      <c r="R95" s="5"/>
      <c r="S95" s="5"/>
    </row>
    <row r="96" ht="15.75" customHeight="1">
      <c r="A96" s="94">
        <v>2.0</v>
      </c>
      <c r="B96" s="94">
        <v>15.0</v>
      </c>
      <c r="C96" s="94">
        <v>40.0</v>
      </c>
      <c r="D96" s="93"/>
      <c r="E96" s="93"/>
      <c r="F96" s="93"/>
      <c r="G96" s="94">
        <v>142.0</v>
      </c>
      <c r="H96" s="94"/>
      <c r="I96" s="94">
        <v>50.0</v>
      </c>
      <c r="J96" s="94">
        <v>100.0</v>
      </c>
      <c r="K96" s="94"/>
      <c r="L96" s="94">
        <v>120.0</v>
      </c>
      <c r="M96" s="94">
        <v>200.0</v>
      </c>
      <c r="N96" s="94">
        <v>5.0</v>
      </c>
      <c r="O96" s="94">
        <v>5.0</v>
      </c>
      <c r="P96" s="5"/>
      <c r="Q96" s="5"/>
      <c r="R96" s="5"/>
      <c r="S96" s="5"/>
    </row>
    <row r="97" ht="15.75" customHeight="1">
      <c r="A97" s="94">
        <v>12.0</v>
      </c>
      <c r="B97" s="94">
        <v>12.0</v>
      </c>
      <c r="C97" s="94">
        <v>6.0</v>
      </c>
      <c r="D97" s="93"/>
      <c r="E97" s="93"/>
      <c r="F97" s="93"/>
      <c r="G97" s="94">
        <v>71.0</v>
      </c>
      <c r="H97" s="94"/>
      <c r="I97" s="94">
        <v>153.0</v>
      </c>
      <c r="J97" s="94">
        <v>20.0</v>
      </c>
      <c r="K97" s="94"/>
      <c r="L97" s="94">
        <v>200.0</v>
      </c>
      <c r="M97" s="94">
        <v>50.0</v>
      </c>
      <c r="N97" s="94">
        <v>8.0</v>
      </c>
      <c r="O97" s="94">
        <v>10.0</v>
      </c>
      <c r="P97" s="5"/>
      <c r="Q97" s="5"/>
      <c r="R97" s="5"/>
      <c r="S97" s="5"/>
    </row>
    <row r="98" ht="15.75" customHeight="1">
      <c r="A98" s="94">
        <v>40.0</v>
      </c>
      <c r="B98" s="94">
        <v>10.0</v>
      </c>
      <c r="C98" s="94">
        <v>15.0</v>
      </c>
      <c r="D98" s="93"/>
      <c r="E98" s="93"/>
      <c r="F98" s="93"/>
      <c r="G98" s="94">
        <v>71.0</v>
      </c>
      <c r="H98" s="94"/>
      <c r="I98" s="94">
        <v>51.0</v>
      </c>
      <c r="J98" s="94">
        <v>120.0</v>
      </c>
      <c r="K98" s="94"/>
      <c r="L98" s="94">
        <v>200.0</v>
      </c>
      <c r="M98" s="94">
        <v>50.0</v>
      </c>
      <c r="N98" s="94">
        <v>10.0</v>
      </c>
      <c r="O98" s="94">
        <v>10.0</v>
      </c>
      <c r="P98" s="5"/>
      <c r="Q98" s="5"/>
      <c r="R98" s="5"/>
      <c r="S98" s="5"/>
    </row>
    <row r="99" ht="15.75" customHeight="1">
      <c r="A99" s="94">
        <v>15.0</v>
      </c>
      <c r="B99" s="94">
        <v>4.0</v>
      </c>
      <c r="C99" s="94">
        <v>2.0</v>
      </c>
      <c r="D99" s="93"/>
      <c r="E99" s="93"/>
      <c r="F99" s="93"/>
      <c r="G99" s="94">
        <v>142.0</v>
      </c>
      <c r="H99" s="94"/>
      <c r="I99" s="94">
        <v>102.0</v>
      </c>
      <c r="J99" s="94">
        <v>150.0</v>
      </c>
      <c r="K99" s="94"/>
      <c r="L99" s="94">
        <v>250.0</v>
      </c>
      <c r="M99" s="94">
        <v>50.0</v>
      </c>
      <c r="N99" s="94">
        <v>30.0</v>
      </c>
      <c r="O99" s="94">
        <v>20.0</v>
      </c>
      <c r="P99" s="5"/>
      <c r="Q99" s="5"/>
      <c r="R99" s="5"/>
      <c r="S99" s="5"/>
    </row>
    <row r="100" ht="15.75" customHeight="1">
      <c r="A100" s="94">
        <v>3.0</v>
      </c>
      <c r="B100" s="94">
        <v>20.0</v>
      </c>
      <c r="C100" s="94">
        <v>1.0</v>
      </c>
      <c r="D100" s="93"/>
      <c r="E100" s="93"/>
      <c r="F100" s="93"/>
      <c r="G100" s="94">
        <v>71.0</v>
      </c>
      <c r="H100" s="94"/>
      <c r="I100" s="94">
        <v>51.0</v>
      </c>
      <c r="J100" s="94">
        <v>25.0</v>
      </c>
      <c r="K100" s="94"/>
      <c r="L100" s="94">
        <v>90.0</v>
      </c>
      <c r="M100" s="94">
        <v>300.0</v>
      </c>
      <c r="N100" s="94">
        <v>10.0</v>
      </c>
      <c r="O100" s="94">
        <v>10.0</v>
      </c>
      <c r="P100" s="5"/>
      <c r="Q100" s="5"/>
      <c r="R100" s="5"/>
      <c r="S100" s="5"/>
    </row>
    <row r="101" ht="15.75" customHeight="1">
      <c r="A101" s="94">
        <v>80.0</v>
      </c>
      <c r="B101" s="94">
        <v>5.0</v>
      </c>
      <c r="C101" s="94">
        <v>18.0</v>
      </c>
      <c r="D101" s="93"/>
      <c r="E101" s="93"/>
      <c r="F101" s="93"/>
      <c r="G101" s="94">
        <v>71.0</v>
      </c>
      <c r="H101" s="94"/>
      <c r="I101" s="94">
        <v>51.0</v>
      </c>
      <c r="J101" s="94">
        <v>50.0</v>
      </c>
      <c r="K101" s="94"/>
      <c r="L101" s="94">
        <v>50.0</v>
      </c>
      <c r="M101" s="94">
        <v>20.0</v>
      </c>
      <c r="N101" s="94">
        <v>5.0</v>
      </c>
      <c r="O101" s="94">
        <v>20.0</v>
      </c>
      <c r="P101" s="5"/>
      <c r="Q101" s="5"/>
      <c r="R101" s="5"/>
      <c r="S101" s="5"/>
    </row>
    <row r="102" ht="15.75" customHeight="1">
      <c r="A102" s="94">
        <v>2.0</v>
      </c>
      <c r="B102" s="94">
        <v>8.0</v>
      </c>
      <c r="C102" s="94">
        <v>60.0</v>
      </c>
      <c r="D102" s="93"/>
      <c r="E102" s="93"/>
      <c r="F102" s="93"/>
      <c r="G102" s="94">
        <v>284.0</v>
      </c>
      <c r="H102" s="94"/>
      <c r="I102" s="94">
        <v>51.0</v>
      </c>
      <c r="J102" s="94">
        <v>25.0</v>
      </c>
      <c r="K102" s="94"/>
      <c r="L102" s="94">
        <v>200.0</v>
      </c>
      <c r="M102" s="94">
        <v>100.0</v>
      </c>
      <c r="N102" s="94">
        <v>6.0</v>
      </c>
      <c r="O102" s="94">
        <v>10.0</v>
      </c>
      <c r="P102" s="5"/>
      <c r="Q102" s="5"/>
      <c r="R102" s="5"/>
      <c r="S102" s="5"/>
    </row>
    <row r="103" ht="15.75" customHeight="1">
      <c r="A103" s="94">
        <v>12.0</v>
      </c>
      <c r="B103" s="94">
        <v>30.0</v>
      </c>
      <c r="C103" s="94">
        <v>8.0</v>
      </c>
      <c r="D103" s="93"/>
      <c r="E103" s="93"/>
      <c r="F103" s="93"/>
      <c r="G103" s="94">
        <v>142.0</v>
      </c>
      <c r="H103" s="94"/>
      <c r="I103" s="94">
        <v>51.0</v>
      </c>
      <c r="J103" s="94">
        <v>300.0</v>
      </c>
      <c r="K103" s="94"/>
      <c r="L103" s="94">
        <v>200.0</v>
      </c>
      <c r="M103" s="94">
        <v>50.0</v>
      </c>
      <c r="N103" s="94">
        <v>20.0</v>
      </c>
      <c r="O103" s="94">
        <v>12.0</v>
      </c>
      <c r="P103" s="5"/>
      <c r="Q103" s="5"/>
      <c r="R103" s="5"/>
      <c r="S103" s="5"/>
    </row>
    <row r="104" ht="15.75" customHeight="1">
      <c r="A104" s="94">
        <v>5.0</v>
      </c>
      <c r="B104" s="94">
        <v>65.0</v>
      </c>
      <c r="C104" s="94">
        <v>8.0</v>
      </c>
      <c r="D104" s="93"/>
      <c r="E104" s="93"/>
      <c r="F104" s="93"/>
      <c r="G104" s="94">
        <v>71.0</v>
      </c>
      <c r="H104" s="94"/>
      <c r="I104" s="94">
        <v>51.0</v>
      </c>
      <c r="J104" s="94">
        <v>250.0</v>
      </c>
      <c r="K104" s="94"/>
      <c r="L104" s="94">
        <v>100.0</v>
      </c>
      <c r="M104" s="94">
        <v>200.0</v>
      </c>
      <c r="N104" s="94">
        <v>3.0</v>
      </c>
      <c r="O104" s="94">
        <v>4.0</v>
      </c>
      <c r="P104" s="5"/>
      <c r="Q104" s="5"/>
      <c r="R104" s="5"/>
      <c r="S104" s="5"/>
    </row>
    <row r="105" ht="15.75" customHeight="1">
      <c r="A105" s="94">
        <v>60.0</v>
      </c>
      <c r="B105" s="94">
        <v>60.0</v>
      </c>
      <c r="C105" s="94">
        <v>30.0</v>
      </c>
      <c r="D105" s="93"/>
      <c r="E105" s="93"/>
      <c r="F105" s="93"/>
      <c r="G105" s="94">
        <v>71.0</v>
      </c>
      <c r="H105" s="94"/>
      <c r="I105" s="94">
        <v>153.0</v>
      </c>
      <c r="J105" s="93"/>
      <c r="K105" s="94"/>
      <c r="L105" s="94">
        <v>200.0</v>
      </c>
      <c r="M105" s="94">
        <v>400.0</v>
      </c>
      <c r="N105" s="94">
        <v>10.0</v>
      </c>
      <c r="O105" s="94">
        <v>3.0</v>
      </c>
      <c r="P105" s="5"/>
      <c r="Q105" s="5"/>
      <c r="R105" s="5"/>
      <c r="S105" s="5"/>
    </row>
    <row r="106" ht="15.75" customHeight="1">
      <c r="A106" s="94">
        <v>4.0</v>
      </c>
      <c r="B106" s="94">
        <v>15.0</v>
      </c>
      <c r="C106" s="94">
        <v>10.0</v>
      </c>
      <c r="D106" s="93"/>
      <c r="E106" s="93"/>
      <c r="F106" s="93"/>
      <c r="G106" s="94">
        <v>71.0</v>
      </c>
      <c r="H106" s="94"/>
      <c r="I106" s="94">
        <v>51.0</v>
      </c>
      <c r="J106" s="93"/>
      <c r="K106" s="94"/>
      <c r="L106" s="94">
        <v>10.0</v>
      </c>
      <c r="M106" s="94">
        <v>150.0</v>
      </c>
      <c r="N106" s="94">
        <v>10.0</v>
      </c>
      <c r="O106" s="94">
        <v>5.0</v>
      </c>
      <c r="P106" s="5"/>
      <c r="Q106" s="5"/>
      <c r="R106" s="5"/>
      <c r="S106" s="5"/>
    </row>
    <row r="107" ht="15.75" customHeight="1">
      <c r="A107" s="94">
        <v>16.0</v>
      </c>
      <c r="B107" s="94">
        <v>100.0</v>
      </c>
      <c r="C107" s="94">
        <v>3.0</v>
      </c>
      <c r="D107" s="93"/>
      <c r="E107" s="93"/>
      <c r="F107" s="93"/>
      <c r="G107" s="94">
        <v>142.0</v>
      </c>
      <c r="H107" s="94"/>
      <c r="I107" s="94">
        <v>102.0</v>
      </c>
      <c r="J107" s="93"/>
      <c r="K107" s="94"/>
      <c r="L107" s="94">
        <v>70.0</v>
      </c>
      <c r="M107" s="94">
        <v>200.0</v>
      </c>
      <c r="N107" s="94">
        <v>5.0</v>
      </c>
      <c r="O107" s="94">
        <v>20.0</v>
      </c>
      <c r="P107" s="5"/>
      <c r="Q107" s="5"/>
      <c r="R107" s="5"/>
      <c r="S107" s="5"/>
    </row>
    <row r="108" ht="15.75" customHeight="1">
      <c r="A108" s="94">
        <v>1.0</v>
      </c>
      <c r="B108" s="94">
        <v>50.0</v>
      </c>
      <c r="C108" s="94">
        <v>25.0</v>
      </c>
      <c r="D108" s="93"/>
      <c r="E108" s="93"/>
      <c r="F108" s="93"/>
      <c r="G108" s="93"/>
      <c r="H108" s="94"/>
      <c r="I108" s="94">
        <v>51.0</v>
      </c>
      <c r="J108" s="93"/>
      <c r="K108" s="94"/>
      <c r="L108" s="94">
        <v>75.0</v>
      </c>
      <c r="M108" s="94">
        <v>10.0</v>
      </c>
      <c r="N108" s="94">
        <v>10.0</v>
      </c>
      <c r="O108" s="94">
        <v>5.0</v>
      </c>
      <c r="P108" s="5"/>
      <c r="Q108" s="5"/>
      <c r="R108" s="5"/>
      <c r="S108" s="5"/>
    </row>
    <row r="109" ht="15.75" customHeight="1">
      <c r="A109" s="94">
        <v>20.0</v>
      </c>
      <c r="B109" s="94">
        <v>12.0</v>
      </c>
      <c r="C109" s="94">
        <v>1.0</v>
      </c>
      <c r="D109" s="93"/>
      <c r="E109" s="93"/>
      <c r="F109" s="93"/>
      <c r="G109" s="93"/>
      <c r="H109" s="94"/>
      <c r="I109" s="94">
        <v>102.0</v>
      </c>
      <c r="J109" s="93"/>
      <c r="K109" s="94"/>
      <c r="L109" s="94">
        <v>200.0</v>
      </c>
      <c r="M109" s="94">
        <v>30.0</v>
      </c>
      <c r="N109" s="94">
        <v>10.0</v>
      </c>
      <c r="O109" s="94">
        <v>5.0</v>
      </c>
      <c r="P109" s="5"/>
      <c r="Q109" s="5"/>
      <c r="R109" s="5"/>
      <c r="S109" s="5"/>
    </row>
    <row r="110" ht="15.75" customHeight="1">
      <c r="A110" s="94">
        <v>45.0</v>
      </c>
      <c r="B110" s="93"/>
      <c r="C110" s="94">
        <v>30.0</v>
      </c>
      <c r="D110" s="93"/>
      <c r="E110" s="93"/>
      <c r="F110" s="93"/>
      <c r="G110" s="93"/>
      <c r="H110" s="94"/>
      <c r="I110" s="94">
        <v>51.0</v>
      </c>
      <c r="J110" s="93"/>
      <c r="K110" s="94"/>
      <c r="L110" s="94">
        <v>200.0</v>
      </c>
      <c r="M110" s="94">
        <v>100.0</v>
      </c>
      <c r="N110" s="94">
        <v>8.0</v>
      </c>
      <c r="O110" s="94">
        <v>20.0</v>
      </c>
      <c r="P110" s="5"/>
      <c r="Q110" s="5"/>
      <c r="R110" s="5"/>
      <c r="S110" s="5"/>
    </row>
    <row r="111" ht="15.75" customHeight="1">
      <c r="A111" s="94">
        <v>3.0</v>
      </c>
      <c r="B111" s="93"/>
      <c r="C111" s="94">
        <v>10.0</v>
      </c>
      <c r="D111" s="93"/>
      <c r="E111" s="93"/>
      <c r="F111" s="93"/>
      <c r="G111" s="93"/>
      <c r="H111" s="94"/>
      <c r="I111" s="94">
        <v>102.0</v>
      </c>
      <c r="J111" s="93"/>
      <c r="K111" s="94"/>
      <c r="L111" s="94">
        <v>100.0</v>
      </c>
      <c r="M111" s="94">
        <v>300.0</v>
      </c>
      <c r="N111" s="94">
        <v>10.0</v>
      </c>
      <c r="O111" s="93"/>
      <c r="P111" s="5"/>
      <c r="Q111" s="5"/>
      <c r="R111" s="5"/>
      <c r="S111" s="5"/>
    </row>
    <row r="112" ht="15.75" customHeight="1">
      <c r="A112" s="94">
        <v>5.0</v>
      </c>
      <c r="B112" s="93"/>
      <c r="C112" s="94">
        <v>30.0</v>
      </c>
      <c r="D112" s="93"/>
      <c r="E112" s="93"/>
      <c r="F112" s="93"/>
      <c r="G112" s="93"/>
      <c r="H112" s="94"/>
      <c r="I112" s="94">
        <v>51.0</v>
      </c>
      <c r="J112" s="93"/>
      <c r="K112" s="94"/>
      <c r="L112" s="94">
        <v>200.0</v>
      </c>
      <c r="M112" s="94">
        <v>100.0</v>
      </c>
      <c r="N112" s="94">
        <v>4.0</v>
      </c>
      <c r="O112" s="93"/>
      <c r="P112" s="5"/>
      <c r="Q112" s="5"/>
      <c r="R112" s="5"/>
      <c r="S112" s="5"/>
    </row>
    <row r="113" ht="15.75" customHeight="1">
      <c r="A113" s="94">
        <v>12.0</v>
      </c>
      <c r="B113" s="93"/>
      <c r="C113" s="94">
        <v>10.0</v>
      </c>
      <c r="D113" s="93"/>
      <c r="E113" s="93"/>
      <c r="F113" s="93"/>
      <c r="G113" s="93"/>
      <c r="H113" s="94"/>
      <c r="I113" s="94">
        <v>51.0</v>
      </c>
      <c r="J113" s="93"/>
      <c r="K113" s="94"/>
      <c r="L113" s="94">
        <v>200.0</v>
      </c>
      <c r="M113" s="94">
        <v>100.0</v>
      </c>
      <c r="N113" s="94">
        <v>3.0</v>
      </c>
      <c r="O113" s="93"/>
      <c r="P113" s="5"/>
      <c r="Q113" s="5"/>
      <c r="R113" s="5"/>
      <c r="S113" s="5"/>
    </row>
    <row r="114" ht="15.75" customHeight="1">
      <c r="A114" s="94">
        <v>15.0</v>
      </c>
      <c r="B114" s="93"/>
      <c r="C114" s="94">
        <v>10.0</v>
      </c>
      <c r="D114" s="93"/>
      <c r="E114" s="93"/>
      <c r="F114" s="93"/>
      <c r="G114" s="93"/>
      <c r="H114" s="94"/>
      <c r="I114" s="94">
        <v>51.0</v>
      </c>
      <c r="J114" s="93"/>
      <c r="K114" s="94"/>
      <c r="L114" s="94">
        <v>100.0</v>
      </c>
      <c r="M114" s="93"/>
      <c r="N114" s="94">
        <v>10.0</v>
      </c>
      <c r="O114" s="93"/>
      <c r="P114" s="5"/>
      <c r="Q114" s="5"/>
      <c r="R114" s="5"/>
      <c r="S114" s="5"/>
    </row>
    <row r="115" ht="15.75" customHeight="1">
      <c r="A115" s="94">
        <v>10.0</v>
      </c>
      <c r="B115" s="93"/>
      <c r="C115" s="94">
        <v>3.0</v>
      </c>
      <c r="D115" s="93"/>
      <c r="E115" s="93"/>
      <c r="F115" s="93"/>
      <c r="G115" s="93"/>
      <c r="H115" s="94"/>
      <c r="I115" s="94">
        <v>153.0</v>
      </c>
      <c r="J115" s="93"/>
      <c r="K115" s="94"/>
      <c r="L115" s="94">
        <v>75.0</v>
      </c>
      <c r="M115" s="93"/>
      <c r="N115" s="94">
        <v>5.0</v>
      </c>
      <c r="O115" s="93"/>
      <c r="P115" s="5"/>
      <c r="Q115" s="5"/>
      <c r="R115" s="5"/>
      <c r="S115" s="5"/>
    </row>
    <row r="116" ht="15.75" customHeight="1">
      <c r="A116" s="94">
        <v>4.0</v>
      </c>
      <c r="B116" s="93"/>
      <c r="C116" s="94">
        <v>4.0</v>
      </c>
      <c r="D116" s="93"/>
      <c r="E116" s="93"/>
      <c r="F116" s="93"/>
      <c r="G116" s="93"/>
      <c r="H116" s="94"/>
      <c r="I116" s="94">
        <v>102.0</v>
      </c>
      <c r="J116" s="93"/>
      <c r="K116" s="94"/>
      <c r="L116" s="94">
        <v>150.0</v>
      </c>
      <c r="M116" s="93"/>
      <c r="N116" s="94">
        <v>7.0</v>
      </c>
      <c r="O116" s="93"/>
      <c r="P116" s="5"/>
      <c r="Q116" s="5"/>
      <c r="R116" s="5"/>
      <c r="S116" s="5"/>
    </row>
    <row r="117" ht="15.75" customHeight="1">
      <c r="A117" s="94">
        <v>60.0</v>
      </c>
      <c r="B117" s="93"/>
      <c r="C117" s="94">
        <v>80.0</v>
      </c>
      <c r="D117" s="93"/>
      <c r="E117" s="93"/>
      <c r="F117" s="93"/>
      <c r="G117" s="93"/>
      <c r="H117" s="94"/>
      <c r="I117" s="94">
        <v>102.0</v>
      </c>
      <c r="J117" s="93"/>
      <c r="K117" s="94"/>
      <c r="L117" s="94">
        <v>200.0</v>
      </c>
      <c r="M117" s="93"/>
      <c r="N117" s="94">
        <v>5.0</v>
      </c>
      <c r="O117" s="93"/>
      <c r="P117" s="5"/>
      <c r="Q117" s="5"/>
      <c r="R117" s="5"/>
      <c r="S117" s="5"/>
    </row>
    <row r="118" ht="15.75" customHeight="1">
      <c r="A118" s="94">
        <v>4.0</v>
      </c>
      <c r="B118" s="93"/>
      <c r="C118" s="94">
        <v>10.0</v>
      </c>
      <c r="D118" s="93"/>
      <c r="E118" s="93"/>
      <c r="F118" s="93"/>
      <c r="G118" s="93"/>
      <c r="H118" s="94"/>
      <c r="I118" s="94">
        <v>561.0</v>
      </c>
      <c r="J118" s="93"/>
      <c r="K118" s="94"/>
      <c r="L118" s="94">
        <v>150.0</v>
      </c>
      <c r="M118" s="93"/>
      <c r="N118" s="94">
        <v>5.0</v>
      </c>
      <c r="O118" s="93"/>
      <c r="P118" s="5"/>
      <c r="Q118" s="5"/>
      <c r="R118" s="5"/>
      <c r="S118" s="5"/>
    </row>
    <row r="119" ht="15.75" customHeight="1">
      <c r="A119" s="94">
        <v>2.0</v>
      </c>
      <c r="B119" s="93"/>
      <c r="C119" s="94">
        <v>1.0</v>
      </c>
      <c r="D119" s="93"/>
      <c r="E119" s="93"/>
      <c r="F119" s="93"/>
      <c r="G119" s="93"/>
      <c r="H119" s="94"/>
      <c r="I119" s="94">
        <v>255.0</v>
      </c>
      <c r="J119" s="93"/>
      <c r="K119" s="94"/>
      <c r="L119" s="94">
        <v>120.0</v>
      </c>
      <c r="M119" s="93"/>
      <c r="N119" s="94">
        <v>10.0</v>
      </c>
      <c r="O119" s="93"/>
      <c r="P119" s="5"/>
      <c r="Q119" s="5"/>
      <c r="R119" s="5"/>
      <c r="S119" s="5"/>
    </row>
    <row r="120" ht="15.75" customHeight="1">
      <c r="A120" s="94">
        <v>100.0</v>
      </c>
      <c r="B120" s="93"/>
      <c r="C120" s="94">
        <v>80.0</v>
      </c>
      <c r="D120" s="93"/>
      <c r="E120" s="93"/>
      <c r="F120" s="93"/>
      <c r="G120" s="93"/>
      <c r="H120" s="94"/>
      <c r="I120" s="94">
        <v>51.0</v>
      </c>
      <c r="J120" s="93"/>
      <c r="K120" s="94"/>
      <c r="L120" s="94">
        <v>250.0</v>
      </c>
      <c r="M120" s="93"/>
      <c r="N120" s="94">
        <v>20.0</v>
      </c>
      <c r="O120" s="93"/>
      <c r="P120" s="5"/>
      <c r="Q120" s="5"/>
      <c r="R120" s="5"/>
      <c r="S120" s="5"/>
    </row>
    <row r="121" ht="15.75" customHeight="1">
      <c r="A121" s="94">
        <v>12.0</v>
      </c>
      <c r="B121" s="93"/>
      <c r="C121" s="94">
        <v>4.0</v>
      </c>
      <c r="D121" s="93"/>
      <c r="E121" s="93"/>
      <c r="F121" s="93"/>
      <c r="G121" s="93"/>
      <c r="H121" s="94"/>
      <c r="I121" s="94">
        <v>102.0</v>
      </c>
      <c r="J121" s="93"/>
      <c r="K121" s="94"/>
      <c r="L121" s="94">
        <v>250.0</v>
      </c>
      <c r="M121" s="93"/>
      <c r="N121" s="94">
        <v>4.0</v>
      </c>
      <c r="O121" s="93"/>
      <c r="P121" s="5"/>
      <c r="Q121" s="5"/>
      <c r="R121" s="5"/>
      <c r="S121" s="5"/>
    </row>
    <row r="122" ht="15.75" customHeight="1">
      <c r="A122" s="94">
        <v>45.0</v>
      </c>
      <c r="B122" s="93"/>
      <c r="C122" s="94">
        <v>80.0</v>
      </c>
      <c r="D122" s="93"/>
      <c r="E122" s="93"/>
      <c r="F122" s="93"/>
      <c r="G122" s="93"/>
      <c r="H122" s="94"/>
      <c r="I122" s="94">
        <v>102.0</v>
      </c>
      <c r="J122" s="93"/>
      <c r="K122" s="94"/>
      <c r="L122" s="94">
        <v>20.0</v>
      </c>
      <c r="M122" s="93"/>
      <c r="N122" s="94">
        <v>20.0</v>
      </c>
      <c r="O122" s="93"/>
      <c r="P122" s="5"/>
      <c r="Q122" s="5"/>
      <c r="R122" s="5"/>
      <c r="S122" s="5"/>
    </row>
    <row r="123" ht="15.75" customHeight="1">
      <c r="A123" s="94">
        <v>40.0</v>
      </c>
      <c r="B123" s="93"/>
      <c r="C123" s="94">
        <v>25.0</v>
      </c>
      <c r="D123" s="93"/>
      <c r="E123" s="93"/>
      <c r="F123" s="93"/>
      <c r="G123" s="93"/>
      <c r="H123" s="94"/>
      <c r="I123" s="94">
        <v>102.0</v>
      </c>
      <c r="J123" s="93"/>
      <c r="K123" s="94"/>
      <c r="L123" s="94">
        <v>40.0</v>
      </c>
      <c r="M123" s="93"/>
      <c r="N123" s="94">
        <v>5.0</v>
      </c>
      <c r="O123" s="93"/>
      <c r="P123" s="5"/>
      <c r="Q123" s="5"/>
      <c r="R123" s="5"/>
      <c r="S123" s="5"/>
    </row>
    <row r="124" ht="15.75" customHeight="1">
      <c r="A124" s="94">
        <v>40.0</v>
      </c>
      <c r="B124" s="93"/>
      <c r="C124" s="94">
        <v>5.0</v>
      </c>
      <c r="D124" s="93"/>
      <c r="E124" s="93"/>
      <c r="F124" s="93"/>
      <c r="G124" s="93"/>
      <c r="H124" s="94"/>
      <c r="I124" s="94">
        <v>151.0</v>
      </c>
      <c r="J124" s="93"/>
      <c r="K124" s="94"/>
      <c r="L124" s="94">
        <v>25.0</v>
      </c>
      <c r="M124" s="93"/>
      <c r="N124" s="94">
        <v>6.0</v>
      </c>
      <c r="O124" s="93"/>
      <c r="P124" s="5"/>
      <c r="Q124" s="5"/>
      <c r="R124" s="5"/>
      <c r="S124" s="5"/>
    </row>
    <row r="125" ht="15.75" customHeight="1">
      <c r="A125" s="94">
        <v>30.0</v>
      </c>
      <c r="B125" s="93"/>
      <c r="C125" s="94">
        <v>10.0</v>
      </c>
      <c r="D125" s="93"/>
      <c r="E125" s="93"/>
      <c r="F125" s="93"/>
      <c r="G125" s="93"/>
      <c r="H125" s="94"/>
      <c r="I125" s="94">
        <v>51.0</v>
      </c>
      <c r="J125" s="93"/>
      <c r="K125" s="94"/>
      <c r="L125" s="94">
        <v>150.0</v>
      </c>
      <c r="M125" s="93"/>
      <c r="N125" s="93"/>
      <c r="O125" s="93"/>
      <c r="P125" s="5"/>
      <c r="Q125" s="5"/>
      <c r="R125" s="5"/>
      <c r="S125" s="5"/>
    </row>
    <row r="126" ht="15.75" customHeight="1">
      <c r="A126" s="93"/>
      <c r="B126" s="93"/>
      <c r="C126" s="94">
        <v>60.0</v>
      </c>
      <c r="D126" s="93"/>
      <c r="E126" s="93"/>
      <c r="F126" s="93"/>
      <c r="G126" s="93"/>
      <c r="H126" s="94"/>
      <c r="I126" s="94">
        <v>51.0</v>
      </c>
      <c r="J126" s="93"/>
      <c r="K126" s="94"/>
      <c r="L126" s="94">
        <v>100.0</v>
      </c>
      <c r="M126" s="93"/>
      <c r="N126" s="93"/>
      <c r="O126" s="93"/>
      <c r="P126" s="5"/>
      <c r="Q126" s="5"/>
      <c r="R126" s="5"/>
      <c r="S126" s="5"/>
    </row>
    <row r="127" ht="15.75" customHeight="1">
      <c r="A127" s="93"/>
      <c r="B127" s="93"/>
      <c r="C127" s="93"/>
      <c r="D127" s="93"/>
      <c r="E127" s="93"/>
      <c r="F127" s="93"/>
      <c r="G127" s="93"/>
      <c r="H127" s="94"/>
      <c r="I127" s="94">
        <v>153.0</v>
      </c>
      <c r="J127" s="93"/>
      <c r="K127" s="93"/>
      <c r="L127" s="93"/>
      <c r="M127" s="93"/>
      <c r="N127" s="93"/>
      <c r="O127" s="93"/>
      <c r="P127" s="5"/>
      <c r="Q127" s="5"/>
      <c r="R127" s="5"/>
      <c r="S127" s="5"/>
    </row>
    <row r="128" ht="15.75" customHeight="1">
      <c r="A128" s="93"/>
      <c r="B128" s="93"/>
      <c r="C128" s="93"/>
      <c r="D128" s="93"/>
      <c r="E128" s="93"/>
      <c r="F128" s="93"/>
      <c r="G128" s="93"/>
      <c r="H128" s="94"/>
      <c r="I128" s="94">
        <v>102.0</v>
      </c>
      <c r="J128" s="93"/>
      <c r="K128" s="93"/>
      <c r="L128" s="93"/>
      <c r="M128" s="93"/>
      <c r="N128" s="93"/>
      <c r="O128" s="93"/>
      <c r="P128" s="5"/>
      <c r="Q128" s="5"/>
      <c r="R128" s="5"/>
      <c r="S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A134" s="5" t="s">
        <v>365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A135" s="26"/>
      <c r="B135" s="95"/>
      <c r="C135" s="95" t="s">
        <v>198</v>
      </c>
      <c r="N135" s="95" t="s">
        <v>250</v>
      </c>
      <c r="T135" s="95" t="s">
        <v>251</v>
      </c>
      <c r="Z135" s="95" t="s">
        <v>252</v>
      </c>
      <c r="AB135" s="95" t="s">
        <v>202</v>
      </c>
      <c r="AD135" s="95" t="s">
        <v>203</v>
      </c>
      <c r="AF135" s="95" t="s">
        <v>253</v>
      </c>
    </row>
    <row r="136" ht="15.75" customHeight="1">
      <c r="A136" s="26"/>
      <c r="B136" s="96"/>
      <c r="C136" s="97" t="s">
        <v>14</v>
      </c>
      <c r="D136" s="18"/>
      <c r="E136" s="98"/>
      <c r="F136" s="97" t="s">
        <v>15</v>
      </c>
      <c r="G136" s="18"/>
      <c r="H136" s="98"/>
      <c r="I136" s="97" t="s">
        <v>11</v>
      </c>
      <c r="J136" s="18"/>
      <c r="K136" s="98"/>
      <c r="L136" s="97" t="s">
        <v>40</v>
      </c>
      <c r="M136" s="18"/>
      <c r="N136" s="99" t="s">
        <v>254</v>
      </c>
      <c r="O136" s="18"/>
      <c r="P136" s="99" t="s">
        <v>255</v>
      </c>
      <c r="Q136" s="18"/>
      <c r="R136" s="99" t="s">
        <v>256</v>
      </c>
      <c r="S136" s="18"/>
      <c r="T136" s="99" t="s">
        <v>257</v>
      </c>
      <c r="U136" s="18"/>
      <c r="V136" s="99" t="s">
        <v>258</v>
      </c>
      <c r="W136" s="18"/>
      <c r="X136" s="99" t="s">
        <v>259</v>
      </c>
      <c r="Y136" s="18"/>
      <c r="Z136" s="99" t="s">
        <v>260</v>
      </c>
      <c r="AA136" s="18"/>
      <c r="AB136" s="99" t="s">
        <v>261</v>
      </c>
      <c r="AC136" s="18"/>
      <c r="AD136" s="99" t="s">
        <v>262</v>
      </c>
      <c r="AE136" s="18"/>
      <c r="AF136" s="99" t="s">
        <v>263</v>
      </c>
      <c r="AG136" s="18"/>
    </row>
    <row r="137" ht="15.75" customHeight="1">
      <c r="A137" s="100" t="s">
        <v>264</v>
      </c>
      <c r="B137" s="100" t="s">
        <v>264</v>
      </c>
      <c r="C137" s="101" t="s">
        <v>265</v>
      </c>
      <c r="D137" s="101" t="s">
        <v>266</v>
      </c>
      <c r="E137" s="101" t="s">
        <v>366</v>
      </c>
      <c r="F137" s="101" t="s">
        <v>265</v>
      </c>
      <c r="G137" s="101" t="s">
        <v>266</v>
      </c>
      <c r="H137" s="101" t="s">
        <v>366</v>
      </c>
      <c r="I137" s="101" t="s">
        <v>265</v>
      </c>
      <c r="J137" s="101" t="s">
        <v>266</v>
      </c>
      <c r="K137" s="101" t="s">
        <v>366</v>
      </c>
      <c r="L137" s="101" t="s">
        <v>265</v>
      </c>
      <c r="M137" s="101" t="s">
        <v>266</v>
      </c>
      <c r="N137" s="101" t="s">
        <v>265</v>
      </c>
      <c r="O137" s="101" t="s">
        <v>266</v>
      </c>
      <c r="P137" s="101" t="s">
        <v>265</v>
      </c>
      <c r="Q137" s="101" t="s">
        <v>266</v>
      </c>
      <c r="R137" s="101" t="s">
        <v>265</v>
      </c>
      <c r="S137" s="101" t="s">
        <v>266</v>
      </c>
      <c r="T137" s="101" t="s">
        <v>265</v>
      </c>
      <c r="U137" s="101" t="s">
        <v>266</v>
      </c>
      <c r="V137" s="101" t="s">
        <v>265</v>
      </c>
      <c r="W137" s="101" t="s">
        <v>266</v>
      </c>
      <c r="X137" s="101" t="s">
        <v>265</v>
      </c>
      <c r="Y137" s="101" t="s">
        <v>266</v>
      </c>
      <c r="Z137" s="101" t="s">
        <v>265</v>
      </c>
      <c r="AA137" s="101" t="s">
        <v>266</v>
      </c>
      <c r="AB137" s="101" t="s">
        <v>265</v>
      </c>
      <c r="AC137" s="101" t="s">
        <v>266</v>
      </c>
      <c r="AD137" s="101" t="s">
        <v>265</v>
      </c>
      <c r="AE137" s="101" t="s">
        <v>266</v>
      </c>
      <c r="AF137" s="101" t="s">
        <v>265</v>
      </c>
      <c r="AG137" s="101" t="s">
        <v>266</v>
      </c>
    </row>
    <row r="138" ht="15.75" customHeight="1">
      <c r="A138" s="4" t="s">
        <v>267</v>
      </c>
      <c r="B138" s="4" t="s">
        <v>268</v>
      </c>
      <c r="C138" s="4">
        <v>215.0</v>
      </c>
      <c r="D138" s="4">
        <v>155.0</v>
      </c>
      <c r="E138" s="4">
        <v>40.0</v>
      </c>
      <c r="F138" s="4">
        <v>80.0</v>
      </c>
      <c r="G138" s="4">
        <v>55.0</v>
      </c>
      <c r="H138" s="4">
        <v>42.0</v>
      </c>
      <c r="I138" s="4">
        <v>150.0</v>
      </c>
      <c r="J138" s="4">
        <v>55.0</v>
      </c>
      <c r="K138" s="4">
        <v>40.0</v>
      </c>
      <c r="L138" s="4">
        <v>85.0</v>
      </c>
      <c r="M138" s="4">
        <v>85.0</v>
      </c>
      <c r="N138" s="4">
        <v>230.0</v>
      </c>
      <c r="O138" s="4">
        <v>230.0</v>
      </c>
      <c r="P138" s="4">
        <v>426.0</v>
      </c>
      <c r="Q138" s="4">
        <v>213.0</v>
      </c>
      <c r="R138" s="4">
        <v>408.0</v>
      </c>
      <c r="S138" s="4">
        <v>255.0</v>
      </c>
      <c r="T138" s="4">
        <v>600.0</v>
      </c>
      <c r="U138" s="4">
        <v>50.0</v>
      </c>
      <c r="V138" s="4">
        <v>400.0</v>
      </c>
      <c r="W138" s="4">
        <v>275.0</v>
      </c>
      <c r="X138" s="4">
        <v>600.0</v>
      </c>
      <c r="Y138" s="4">
        <v>220.0</v>
      </c>
      <c r="Z138" s="4">
        <v>70.0</v>
      </c>
      <c r="AA138" s="4">
        <v>58.0</v>
      </c>
      <c r="AB138" s="4">
        <v>20.0</v>
      </c>
      <c r="AC138" s="4">
        <v>3.0</v>
      </c>
      <c r="AD138" s="4">
        <v>40.0</v>
      </c>
      <c r="AE138" s="4">
        <v>25.0</v>
      </c>
      <c r="AF138" s="4">
        <v>8.0</v>
      </c>
      <c r="AG138" s="4">
        <v>8.0</v>
      </c>
    </row>
    <row r="139" ht="15.75" customHeight="1">
      <c r="A139" s="4" t="s">
        <v>269</v>
      </c>
      <c r="B139" s="4" t="s">
        <v>270</v>
      </c>
      <c r="C139" s="4">
        <v>155.0</v>
      </c>
      <c r="D139" s="4">
        <v>55.0</v>
      </c>
      <c r="E139" s="4">
        <v>40.0</v>
      </c>
      <c r="F139" s="4">
        <v>55.0</v>
      </c>
      <c r="G139" s="4">
        <v>12.0</v>
      </c>
      <c r="H139" s="4">
        <v>42.0</v>
      </c>
      <c r="I139" s="4">
        <v>255.0</v>
      </c>
      <c r="J139" s="4">
        <v>253.0</v>
      </c>
      <c r="K139" s="4">
        <v>40.0</v>
      </c>
      <c r="L139" s="4">
        <v>85.0</v>
      </c>
      <c r="M139" s="4">
        <v>81.0</v>
      </c>
      <c r="N139" s="4">
        <v>230.0</v>
      </c>
      <c r="O139" s="4">
        <v>230.0</v>
      </c>
      <c r="P139" s="4">
        <v>213.0</v>
      </c>
      <c r="Q139" s="60">
        <v>0.0</v>
      </c>
      <c r="R139" s="4">
        <v>510.0</v>
      </c>
      <c r="S139" s="4">
        <v>357.0</v>
      </c>
      <c r="T139" s="4">
        <v>550.0</v>
      </c>
      <c r="U139" s="4">
        <v>260.0</v>
      </c>
      <c r="V139" s="4">
        <v>275.0</v>
      </c>
      <c r="W139" s="4">
        <v>250.0</v>
      </c>
      <c r="X139" s="4">
        <v>770.0</v>
      </c>
      <c r="Y139" s="4">
        <v>315.0</v>
      </c>
      <c r="Z139" s="4">
        <v>58.0</v>
      </c>
      <c r="AA139" s="4">
        <v>34.0</v>
      </c>
      <c r="AB139" s="4">
        <v>53.0</v>
      </c>
      <c r="AC139" s="4">
        <v>36.0</v>
      </c>
      <c r="AD139" s="4">
        <v>25.0</v>
      </c>
      <c r="AE139" s="4">
        <v>25.0</v>
      </c>
      <c r="AF139" s="4">
        <v>8.0</v>
      </c>
      <c r="AG139" s="4">
        <v>6.0</v>
      </c>
    </row>
    <row r="140" ht="15.75" customHeight="1">
      <c r="A140" s="4" t="s">
        <v>271</v>
      </c>
      <c r="B140" s="4" t="s">
        <v>272</v>
      </c>
      <c r="C140" s="4">
        <v>255.0</v>
      </c>
      <c r="D140" s="4">
        <v>240.0</v>
      </c>
      <c r="E140" s="4">
        <v>40.0</v>
      </c>
      <c r="F140" s="4">
        <v>112.0</v>
      </c>
      <c r="G140" s="4">
        <v>111.0</v>
      </c>
      <c r="H140" s="4">
        <v>42.0</v>
      </c>
      <c r="I140" s="4">
        <v>253.0</v>
      </c>
      <c r="J140" s="4">
        <v>240.0</v>
      </c>
      <c r="K140" s="4">
        <v>40.0</v>
      </c>
      <c r="L140" s="4">
        <v>81.0</v>
      </c>
      <c r="M140" s="4">
        <v>51.0</v>
      </c>
      <c r="N140" s="4">
        <v>230.0</v>
      </c>
      <c r="O140" s="4">
        <v>230.0</v>
      </c>
      <c r="P140" s="4">
        <v>355.0</v>
      </c>
      <c r="Q140" s="60">
        <v>-142.0</v>
      </c>
      <c r="R140" s="4">
        <v>357.0</v>
      </c>
      <c r="S140" s="4">
        <v>102.0</v>
      </c>
      <c r="T140" s="4">
        <v>260.0</v>
      </c>
      <c r="U140" s="4">
        <v>185.0</v>
      </c>
      <c r="V140" s="4">
        <v>250.0</v>
      </c>
      <c r="W140" s="4">
        <v>180.0</v>
      </c>
      <c r="X140" s="4">
        <v>315.0</v>
      </c>
      <c r="Y140" s="4">
        <v>30.0</v>
      </c>
      <c r="Z140" s="4">
        <v>34.0</v>
      </c>
      <c r="AA140" s="4">
        <v>34.0</v>
      </c>
      <c r="AB140" s="4">
        <v>36.0</v>
      </c>
      <c r="AC140" s="4">
        <v>27.0</v>
      </c>
      <c r="AD140" s="4">
        <v>25.0</v>
      </c>
      <c r="AE140" s="4">
        <v>15.0</v>
      </c>
      <c r="AF140" s="4">
        <v>6.0</v>
      </c>
      <c r="AG140" s="4">
        <v>6.0</v>
      </c>
    </row>
    <row r="141" ht="15.75" customHeight="1">
      <c r="A141" s="4" t="s">
        <v>273</v>
      </c>
      <c r="B141" s="4" t="s">
        <v>274</v>
      </c>
      <c r="C141" s="4">
        <v>240.0</v>
      </c>
      <c r="D141" s="4">
        <v>234.0</v>
      </c>
      <c r="E141" s="4">
        <v>40.0</v>
      </c>
      <c r="F141" s="4">
        <v>111.0</v>
      </c>
      <c r="G141" s="4">
        <v>86.0</v>
      </c>
      <c r="H141" s="4">
        <v>42.0</v>
      </c>
      <c r="I141" s="4">
        <v>240.0</v>
      </c>
      <c r="J141" s="4">
        <v>240.0</v>
      </c>
      <c r="K141" s="4">
        <v>40.0</v>
      </c>
      <c r="L141" s="4">
        <v>51.0</v>
      </c>
      <c r="M141" s="4">
        <v>51.0</v>
      </c>
      <c r="N141" s="4">
        <v>230.0</v>
      </c>
      <c r="O141" s="4">
        <v>230.0</v>
      </c>
      <c r="P141" s="4">
        <v>355.0</v>
      </c>
      <c r="Q141" s="4">
        <v>71.0</v>
      </c>
      <c r="R141" s="4">
        <v>306.0</v>
      </c>
      <c r="S141" s="4">
        <f>306-102</f>
        <v>204</v>
      </c>
      <c r="T141" s="4">
        <v>485.0</v>
      </c>
      <c r="U141" s="4">
        <v>90.0</v>
      </c>
      <c r="V141" s="4">
        <v>380.0</v>
      </c>
      <c r="W141" s="4">
        <v>130.0</v>
      </c>
      <c r="X141" s="4">
        <v>530.0</v>
      </c>
      <c r="Y141" s="4">
        <v>515.0</v>
      </c>
      <c r="Z141" s="4">
        <v>34.0</v>
      </c>
      <c r="AA141" s="4">
        <v>34.0</v>
      </c>
      <c r="AB141" s="4">
        <v>27.0</v>
      </c>
      <c r="AC141" s="4">
        <v>23.0</v>
      </c>
      <c r="AD141" s="4">
        <v>15.0</v>
      </c>
      <c r="AE141" s="4">
        <v>10.0</v>
      </c>
      <c r="AF141" s="4">
        <v>6.0</v>
      </c>
      <c r="AG141" s="4">
        <v>3.0</v>
      </c>
    </row>
    <row r="142" ht="15.75" customHeight="1">
      <c r="A142" s="4" t="s">
        <v>275</v>
      </c>
      <c r="B142" s="4" t="s">
        <v>276</v>
      </c>
      <c r="C142" s="4">
        <v>234.0</v>
      </c>
      <c r="D142" s="4">
        <f>234-22</f>
        <v>212</v>
      </c>
      <c r="E142" s="4">
        <v>40.0</v>
      </c>
      <c r="F142" s="4">
        <v>86.0</v>
      </c>
      <c r="G142" s="4">
        <v>73.0</v>
      </c>
      <c r="H142" s="4">
        <v>42.0</v>
      </c>
      <c r="I142" s="4">
        <v>240.0</v>
      </c>
      <c r="J142" s="4">
        <v>237.0</v>
      </c>
      <c r="K142" s="4">
        <v>40.0</v>
      </c>
      <c r="L142" s="4">
        <v>151.0</v>
      </c>
      <c r="M142" s="4">
        <v>151.0</v>
      </c>
      <c r="N142" s="4">
        <v>230.0</v>
      </c>
      <c r="O142" s="4">
        <v>230.0</v>
      </c>
      <c r="P142" s="4">
        <v>426.0</v>
      </c>
      <c r="Q142" s="4">
        <v>142.0</v>
      </c>
      <c r="R142" s="4">
        <v>306.0</v>
      </c>
      <c r="S142" s="60">
        <v>0.0</v>
      </c>
      <c r="T142" s="4">
        <v>390.0</v>
      </c>
      <c r="U142" s="4">
        <v>390.0</v>
      </c>
      <c r="V142" s="4">
        <v>430.0</v>
      </c>
      <c r="W142" s="4">
        <f>430-220</f>
        <v>210</v>
      </c>
      <c r="X142" s="4">
        <v>515.0</v>
      </c>
      <c r="Y142" s="4">
        <f>515-150</f>
        <v>365</v>
      </c>
      <c r="Z142" s="4">
        <v>34.0</v>
      </c>
      <c r="AA142" s="4">
        <f>34-16</f>
        <v>18</v>
      </c>
      <c r="AB142" s="4">
        <v>27.0</v>
      </c>
      <c r="AC142" s="4">
        <v>4.0</v>
      </c>
      <c r="AD142" s="4">
        <v>10.0</v>
      </c>
      <c r="AE142" s="4">
        <v>10.0</v>
      </c>
      <c r="AF142" s="4">
        <v>6.0</v>
      </c>
      <c r="AG142" s="4">
        <v>2.0</v>
      </c>
    </row>
    <row r="143" ht="15.75" customHeight="1">
      <c r="A143" s="4" t="s">
        <v>277</v>
      </c>
      <c r="B143" s="4" t="s">
        <v>278</v>
      </c>
      <c r="C143" s="4">
        <v>212.0</v>
      </c>
      <c r="D143" s="4">
        <v>204.0</v>
      </c>
      <c r="E143" s="4">
        <v>40.0</v>
      </c>
      <c r="F143" s="4">
        <v>173.0</v>
      </c>
      <c r="G143" s="4">
        <v>98.0</v>
      </c>
      <c r="H143" s="4">
        <v>42.0</v>
      </c>
      <c r="I143" s="4">
        <v>237.0</v>
      </c>
      <c r="J143" s="4">
        <v>220.0</v>
      </c>
      <c r="K143" s="4">
        <v>40.0</v>
      </c>
      <c r="L143" s="4">
        <v>151.0</v>
      </c>
      <c r="M143" s="4">
        <v>151.0</v>
      </c>
      <c r="N143" s="4">
        <v>230.0</v>
      </c>
      <c r="O143" s="4">
        <v>230.0</v>
      </c>
      <c r="P143" s="4">
        <v>497.0</v>
      </c>
      <c r="Q143" s="4">
        <v>284.0</v>
      </c>
      <c r="R143" s="4">
        <v>408.0</v>
      </c>
      <c r="S143" s="4">
        <v>51.0</v>
      </c>
      <c r="T143" s="4">
        <v>390.0</v>
      </c>
      <c r="U143" s="4">
        <v>295.0</v>
      </c>
      <c r="V143" s="4">
        <v>410.0</v>
      </c>
      <c r="W143" s="4">
        <v>300.0</v>
      </c>
      <c r="X143" s="4">
        <v>365.0</v>
      </c>
      <c r="Y143" s="4">
        <v>200.0</v>
      </c>
      <c r="Z143" s="4">
        <v>58.0</v>
      </c>
      <c r="AA143" s="4">
        <v>28.0</v>
      </c>
      <c r="AB143" s="4">
        <v>44.0</v>
      </c>
      <c r="AC143" s="4">
        <v>29.0</v>
      </c>
      <c r="AD143" s="4">
        <v>30.0</v>
      </c>
      <c r="AE143" s="4">
        <v>5.0</v>
      </c>
      <c r="AF143" s="4">
        <v>7.0</v>
      </c>
      <c r="AG143" s="4">
        <v>3.0</v>
      </c>
    </row>
    <row r="144" ht="15.75" customHeight="1">
      <c r="A144" s="4" t="s">
        <v>279</v>
      </c>
      <c r="B144" s="4" t="s">
        <v>280</v>
      </c>
      <c r="C144" s="4">
        <v>204.0</v>
      </c>
      <c r="D144" s="4">
        <v>196.0</v>
      </c>
      <c r="E144" s="4">
        <v>40.0</v>
      </c>
      <c r="F144" s="4">
        <v>198.0</v>
      </c>
      <c r="G144" s="4">
        <v>153.0</v>
      </c>
      <c r="H144" s="4">
        <v>42.0</v>
      </c>
      <c r="I144" s="4">
        <v>237.0</v>
      </c>
      <c r="J144" s="4">
        <v>227.0</v>
      </c>
      <c r="K144" s="4">
        <v>40.0</v>
      </c>
      <c r="L144" s="4">
        <v>151.0</v>
      </c>
      <c r="M144" s="4">
        <v>119.0</v>
      </c>
      <c r="N144" s="4">
        <v>230.0</v>
      </c>
      <c r="O144" s="4">
        <v>230.0</v>
      </c>
      <c r="P144" s="4">
        <v>426.0</v>
      </c>
      <c r="Q144" s="4">
        <v>71.0</v>
      </c>
      <c r="R144" s="4">
        <v>357.0</v>
      </c>
      <c r="S144" s="60">
        <v>0.0</v>
      </c>
      <c r="T144" s="4">
        <v>495.0</v>
      </c>
      <c r="U144" s="4">
        <v>90.0</v>
      </c>
      <c r="V144" s="4">
        <v>300.0</v>
      </c>
      <c r="W144" s="4">
        <v>60.0</v>
      </c>
      <c r="X144" s="4">
        <v>200.0</v>
      </c>
      <c r="Y144" s="4">
        <v>55.0</v>
      </c>
      <c r="Z144" s="4">
        <v>28.0</v>
      </c>
      <c r="AA144" s="4">
        <v>13.0</v>
      </c>
      <c r="AB144" s="4">
        <v>29.0</v>
      </c>
      <c r="AC144" s="4">
        <v>22.0</v>
      </c>
      <c r="AD144" s="4">
        <v>5.0</v>
      </c>
      <c r="AE144" s="4">
        <v>5.0</v>
      </c>
      <c r="AF144" s="4">
        <v>3.0</v>
      </c>
      <c r="AG144" s="4">
        <v>3.0</v>
      </c>
    </row>
    <row r="145" ht="15.75" customHeight="1">
      <c r="A145" s="4" t="s">
        <v>281</v>
      </c>
      <c r="B145" s="4" t="s">
        <v>282</v>
      </c>
      <c r="C145" s="4">
        <v>196.0</v>
      </c>
      <c r="D145" s="4">
        <v>123.0</v>
      </c>
      <c r="E145" s="4">
        <v>40.0</v>
      </c>
      <c r="F145" s="4">
        <v>153.0</v>
      </c>
      <c r="G145" s="4">
        <v>89.0</v>
      </c>
      <c r="H145" s="4">
        <v>42.0</v>
      </c>
      <c r="I145" s="4">
        <v>227.0</v>
      </c>
      <c r="J145" s="4">
        <v>195.0</v>
      </c>
      <c r="K145" s="4">
        <v>40.0</v>
      </c>
      <c r="L145" s="4">
        <v>119.0</v>
      </c>
      <c r="M145" s="4">
        <v>115.0</v>
      </c>
      <c r="N145" s="4">
        <v>230.0</v>
      </c>
      <c r="O145" s="4">
        <v>184.0</v>
      </c>
      <c r="P145" s="4">
        <v>497.0</v>
      </c>
      <c r="Q145" s="4">
        <v>284.0</v>
      </c>
      <c r="R145" s="4">
        <v>306.0</v>
      </c>
      <c r="S145" s="60">
        <v>0.0</v>
      </c>
      <c r="T145" s="4">
        <v>590.0</v>
      </c>
      <c r="U145" s="4">
        <v>240.0</v>
      </c>
      <c r="V145" s="4">
        <v>560.0</v>
      </c>
      <c r="W145" s="4">
        <v>230.0</v>
      </c>
      <c r="X145" s="4">
        <v>555.0</v>
      </c>
      <c r="Y145" s="4">
        <v>450.0</v>
      </c>
      <c r="Z145" s="4">
        <v>53.0</v>
      </c>
      <c r="AA145" s="4">
        <v>27.0</v>
      </c>
      <c r="AB145" s="4">
        <v>62.0</v>
      </c>
      <c r="AC145" s="4">
        <v>30.0</v>
      </c>
      <c r="AD145" s="4">
        <v>25.0</v>
      </c>
      <c r="AE145" s="4">
        <v>25.0</v>
      </c>
      <c r="AF145" s="4">
        <v>8.0</v>
      </c>
      <c r="AG145" s="4">
        <v>6.0</v>
      </c>
    </row>
    <row r="146" ht="15.75" customHeight="1">
      <c r="A146" s="4" t="s">
        <v>283</v>
      </c>
      <c r="B146" s="4" t="s">
        <v>284</v>
      </c>
      <c r="C146" s="4">
        <v>223.0</v>
      </c>
      <c r="D146" s="4">
        <v>223.0</v>
      </c>
      <c r="E146" s="4">
        <v>40.0</v>
      </c>
      <c r="F146" s="4">
        <v>189.0</v>
      </c>
      <c r="G146" s="4">
        <v>189.0</v>
      </c>
      <c r="H146" s="4">
        <v>42.0</v>
      </c>
      <c r="I146" s="4">
        <v>195.0</v>
      </c>
      <c r="J146" s="4">
        <v>192.0</v>
      </c>
      <c r="K146" s="4">
        <v>40.0</v>
      </c>
      <c r="L146" s="4">
        <v>119.0</v>
      </c>
      <c r="M146" s="4">
        <v>99.0</v>
      </c>
      <c r="N146" s="4">
        <v>184.0</v>
      </c>
      <c r="O146" s="4">
        <v>184.0</v>
      </c>
      <c r="P146" s="4">
        <v>568.0</v>
      </c>
      <c r="Q146" s="4">
        <f>568-284</f>
        <v>284</v>
      </c>
      <c r="R146" s="4">
        <v>510.0</v>
      </c>
      <c r="S146" s="4">
        <v>51.0</v>
      </c>
      <c r="T146" s="4">
        <v>540.0</v>
      </c>
      <c r="U146" s="4">
        <f>540-150</f>
        <v>390</v>
      </c>
      <c r="V146" s="4">
        <v>530.0</v>
      </c>
      <c r="W146" s="4">
        <v>482.0</v>
      </c>
      <c r="X146" s="4">
        <v>450.0</v>
      </c>
      <c r="Y146" s="4">
        <v>160.0</v>
      </c>
      <c r="Z146" s="4">
        <v>27.0</v>
      </c>
      <c r="AA146" s="4">
        <v>22.0</v>
      </c>
      <c r="AB146" s="4">
        <v>30.0</v>
      </c>
      <c r="AC146" s="4">
        <v>16.0</v>
      </c>
      <c r="AD146" s="4">
        <v>45.0</v>
      </c>
      <c r="AE146" s="26">
        <v>20.0</v>
      </c>
      <c r="AF146" s="4">
        <v>6.0</v>
      </c>
      <c r="AG146" s="4">
        <v>6.0</v>
      </c>
    </row>
    <row r="147" ht="15.75" customHeight="1">
      <c r="A147" s="4" t="s">
        <v>285</v>
      </c>
      <c r="B147" s="4" t="s">
        <v>286</v>
      </c>
      <c r="C147" s="4">
        <v>223.0</v>
      </c>
      <c r="D147" s="4">
        <v>202.0</v>
      </c>
      <c r="E147" s="4">
        <v>40.0</v>
      </c>
      <c r="F147" s="4">
        <v>189.0</v>
      </c>
      <c r="G147" s="4">
        <v>150.0</v>
      </c>
      <c r="H147" s="4">
        <v>42.0</v>
      </c>
      <c r="I147" s="4">
        <v>192.0</v>
      </c>
      <c r="J147" s="4">
        <v>162.0</v>
      </c>
      <c r="K147" s="4">
        <v>40.0</v>
      </c>
      <c r="L147" s="4">
        <v>99.0</v>
      </c>
      <c r="M147" s="4">
        <v>49.0</v>
      </c>
      <c r="N147" s="4">
        <v>184.0</v>
      </c>
      <c r="O147" s="4">
        <v>138.0</v>
      </c>
      <c r="P147" s="4">
        <v>426.0</v>
      </c>
      <c r="Q147" s="60">
        <v>-142.0</v>
      </c>
      <c r="R147" s="4">
        <v>1020.0</v>
      </c>
      <c r="S147" s="4">
        <v>204.0</v>
      </c>
      <c r="T147" s="4">
        <v>390.0</v>
      </c>
      <c r="U147" s="4">
        <v>310.0</v>
      </c>
      <c r="V147" s="4">
        <v>482.0</v>
      </c>
      <c r="W147" s="4">
        <v>52.0</v>
      </c>
      <c r="X147" s="4">
        <v>1160.0</v>
      </c>
      <c r="Y147" s="4">
        <v>310.0</v>
      </c>
      <c r="Z147" s="4">
        <v>62.0</v>
      </c>
      <c r="AA147" s="4">
        <v>62.0</v>
      </c>
      <c r="AB147" s="4">
        <v>56.0</v>
      </c>
      <c r="AC147" s="4">
        <v>20.0</v>
      </c>
      <c r="AD147" s="4">
        <v>40.0</v>
      </c>
      <c r="AE147" s="4">
        <v>40.0</v>
      </c>
      <c r="AF147" s="4">
        <v>6.0</v>
      </c>
      <c r="AG147" s="4">
        <v>1.0</v>
      </c>
    </row>
    <row r="148" ht="15.75" customHeight="1">
      <c r="A148" s="4" t="s">
        <v>287</v>
      </c>
      <c r="B148" s="4" t="s">
        <v>288</v>
      </c>
      <c r="C148" s="4">
        <v>202.0</v>
      </c>
      <c r="D148" s="4">
        <v>150.0</v>
      </c>
      <c r="E148" s="4">
        <v>40.0</v>
      </c>
      <c r="F148" s="4">
        <v>150.0</v>
      </c>
      <c r="G148" s="4">
        <v>31.0</v>
      </c>
      <c r="H148" s="4">
        <v>42.0</v>
      </c>
      <c r="I148" s="4">
        <v>162.0</v>
      </c>
      <c r="J148" s="4">
        <v>137.0</v>
      </c>
      <c r="K148" s="4">
        <v>40.0</v>
      </c>
      <c r="L148" s="4">
        <v>249.0</v>
      </c>
      <c r="M148" s="4">
        <v>224.0</v>
      </c>
      <c r="N148" s="4">
        <v>138.0</v>
      </c>
      <c r="O148" s="4">
        <v>138.0</v>
      </c>
      <c r="P148" s="4">
        <v>355.0</v>
      </c>
      <c r="Q148" s="4">
        <v>355.0</v>
      </c>
      <c r="R148" s="4">
        <v>714.0</v>
      </c>
      <c r="S148" s="4">
        <v>459.0</v>
      </c>
      <c r="T148" s="4">
        <v>310.0</v>
      </c>
      <c r="U148" s="4">
        <v>140.0</v>
      </c>
      <c r="V148" s="4">
        <v>352.0</v>
      </c>
      <c r="W148" s="4">
        <v>287.0</v>
      </c>
      <c r="X148" s="4">
        <v>310.0</v>
      </c>
      <c r="Y148" s="60">
        <v>-330.0</v>
      </c>
      <c r="Z148" s="4">
        <v>62.0</v>
      </c>
      <c r="AA148" s="4">
        <v>27.0</v>
      </c>
      <c r="AB148" s="4">
        <v>60.0</v>
      </c>
      <c r="AC148" s="4">
        <v>13.0</v>
      </c>
      <c r="AD148" s="4">
        <v>40.0</v>
      </c>
      <c r="AE148" s="4">
        <v>35.0</v>
      </c>
      <c r="AF148" s="4">
        <v>6.0</v>
      </c>
      <c r="AG148" s="4">
        <v>6.0</v>
      </c>
    </row>
    <row r="149" ht="15.75" customHeight="1">
      <c r="A149" s="4" t="s">
        <v>289</v>
      </c>
      <c r="B149" s="4" t="s">
        <v>290</v>
      </c>
      <c r="C149" s="4">
        <v>150.0</v>
      </c>
      <c r="D149" s="4">
        <v>146.0</v>
      </c>
      <c r="E149" s="4">
        <v>40.0</v>
      </c>
      <c r="F149" s="4">
        <v>231.0</v>
      </c>
      <c r="G149" s="4">
        <v>226.0</v>
      </c>
      <c r="H149" s="4">
        <v>42.0</v>
      </c>
      <c r="I149" s="4">
        <v>137.0</v>
      </c>
      <c r="J149" s="4">
        <v>106.0</v>
      </c>
      <c r="K149" s="4">
        <v>40.0</v>
      </c>
      <c r="L149" s="4">
        <v>224.0</v>
      </c>
      <c r="M149" s="4">
        <v>224.0</v>
      </c>
      <c r="N149" s="4">
        <v>138.0</v>
      </c>
      <c r="O149" s="4">
        <v>138.0</v>
      </c>
      <c r="P149" s="4">
        <v>355.0</v>
      </c>
      <c r="Q149" s="4">
        <v>142.0</v>
      </c>
      <c r="R149" s="4">
        <v>459.0</v>
      </c>
      <c r="S149" s="4">
        <v>408.0</v>
      </c>
      <c r="T149" s="4">
        <v>740.0</v>
      </c>
      <c r="U149" s="4">
        <v>500.0</v>
      </c>
      <c r="V149" s="4">
        <v>887.0</v>
      </c>
      <c r="W149" s="4">
        <v>840.0</v>
      </c>
      <c r="X149" s="4">
        <v>270.0</v>
      </c>
      <c r="Y149" s="4">
        <v>60.0</v>
      </c>
      <c r="Z149" s="4">
        <v>67.0</v>
      </c>
      <c r="AA149" s="4">
        <v>17.0</v>
      </c>
      <c r="AB149" s="4">
        <v>53.0</v>
      </c>
      <c r="AC149" s="4">
        <v>46.0</v>
      </c>
      <c r="AD149" s="4">
        <v>35.0</v>
      </c>
      <c r="AE149" s="4">
        <v>35.0</v>
      </c>
      <c r="AF149" s="4">
        <v>6.0</v>
      </c>
      <c r="AG149" s="4">
        <v>4.0</v>
      </c>
    </row>
    <row r="150" ht="15.75" customHeight="1">
      <c r="A150" s="4" t="s">
        <v>291</v>
      </c>
      <c r="B150" s="4" t="s">
        <v>292</v>
      </c>
      <c r="C150" s="4">
        <v>146.0</v>
      </c>
      <c r="D150" s="4">
        <v>141.0</v>
      </c>
      <c r="E150" s="4">
        <v>40.0</v>
      </c>
      <c r="F150" s="4">
        <v>226.0</v>
      </c>
      <c r="G150" s="4">
        <v>183.0</v>
      </c>
      <c r="H150" s="4">
        <v>42.0</v>
      </c>
      <c r="I150" s="4">
        <v>106.0</v>
      </c>
      <c r="J150" s="4">
        <v>106.0</v>
      </c>
      <c r="K150" s="4">
        <v>40.0</v>
      </c>
      <c r="L150" s="4">
        <v>224.0</v>
      </c>
      <c r="M150" s="4">
        <v>222.0</v>
      </c>
      <c r="N150" s="4">
        <v>138.0</v>
      </c>
      <c r="O150" s="4">
        <v>138.0</v>
      </c>
      <c r="P150" s="4">
        <v>497.0</v>
      </c>
      <c r="Q150" s="4">
        <v>497.0</v>
      </c>
      <c r="R150" s="4">
        <v>408.0</v>
      </c>
      <c r="S150" s="4">
        <v>255.0</v>
      </c>
      <c r="T150" s="4">
        <v>500.0</v>
      </c>
      <c r="U150" s="4">
        <v>500.0</v>
      </c>
      <c r="V150" s="4">
        <v>843.0</v>
      </c>
      <c r="W150" s="4">
        <v>799.0</v>
      </c>
      <c r="X150" s="4">
        <v>560.0</v>
      </c>
      <c r="Y150" s="4">
        <v>217.0</v>
      </c>
      <c r="Z150" s="4">
        <v>57.0</v>
      </c>
      <c r="AA150" s="4">
        <v>40.0</v>
      </c>
      <c r="AB150" s="4">
        <v>46.0</v>
      </c>
      <c r="AC150" s="4">
        <v>46.0</v>
      </c>
      <c r="AD150" s="4">
        <v>35.0</v>
      </c>
      <c r="AE150" s="4">
        <v>35.0</v>
      </c>
      <c r="AF150" s="4">
        <v>4.0</v>
      </c>
      <c r="AG150" s="4">
        <v>4.0</v>
      </c>
    </row>
    <row r="151" ht="15.75" customHeight="1">
      <c r="A151" s="4" t="s">
        <v>293</v>
      </c>
      <c r="B151" s="4" t="s">
        <v>294</v>
      </c>
      <c r="C151" s="4">
        <v>141.0</v>
      </c>
      <c r="D151" s="4">
        <v>103.0</v>
      </c>
      <c r="E151" s="4">
        <v>40.0</v>
      </c>
      <c r="F151" s="4">
        <v>183.0</v>
      </c>
      <c r="G151" s="4">
        <v>159.0</v>
      </c>
      <c r="H151" s="4">
        <v>42.0</v>
      </c>
      <c r="I151" s="4">
        <v>106.0</v>
      </c>
      <c r="J151" s="4">
        <v>82.0</v>
      </c>
      <c r="K151" s="4">
        <v>40.0</v>
      </c>
      <c r="L151" s="4">
        <v>222.0</v>
      </c>
      <c r="M151" s="4">
        <v>222.0</v>
      </c>
      <c r="N151" s="4">
        <v>138.0</v>
      </c>
      <c r="O151" s="4">
        <v>92.0</v>
      </c>
      <c r="P151" s="4">
        <v>497.0</v>
      </c>
      <c r="Q151" s="4">
        <v>284.0</v>
      </c>
      <c r="R151" s="4">
        <v>510.0</v>
      </c>
      <c r="S151" s="4">
        <v>510.0</v>
      </c>
      <c r="T151" s="4">
        <v>500.0</v>
      </c>
      <c r="U151" s="4">
        <v>175.0</v>
      </c>
      <c r="V151" s="4">
        <v>799.0</v>
      </c>
      <c r="W151" s="4">
        <v>729.0</v>
      </c>
      <c r="X151" s="4">
        <v>217.0</v>
      </c>
      <c r="Y151" s="4">
        <v>27.0</v>
      </c>
      <c r="Z151" s="4">
        <v>40.0</v>
      </c>
      <c r="AA151" s="4">
        <v>8.0</v>
      </c>
      <c r="AB151" s="4">
        <v>46.0</v>
      </c>
      <c r="AC151" s="4">
        <v>9.0</v>
      </c>
      <c r="AD151" s="4">
        <v>35.0</v>
      </c>
      <c r="AE151" s="4">
        <v>30.0</v>
      </c>
      <c r="AF151" s="4">
        <v>4.0</v>
      </c>
      <c r="AG151" s="4">
        <v>4.0</v>
      </c>
    </row>
    <row r="152" ht="15.75" customHeight="1">
      <c r="A152" s="4" t="s">
        <v>295</v>
      </c>
      <c r="B152" s="4" t="s">
        <v>296</v>
      </c>
      <c r="C152" s="4">
        <v>103.0</v>
      </c>
      <c r="D152" s="4">
        <v>65.0</v>
      </c>
      <c r="E152" s="4">
        <v>40.0</v>
      </c>
      <c r="F152" s="4">
        <v>159.0</v>
      </c>
      <c r="G152" s="4">
        <v>141.0</v>
      </c>
      <c r="H152" s="4">
        <v>42.0</v>
      </c>
      <c r="I152" s="4">
        <v>82.0</v>
      </c>
      <c r="J152" s="4">
        <v>22.0</v>
      </c>
      <c r="K152" s="4">
        <v>40.0</v>
      </c>
      <c r="L152" s="4">
        <v>222.0</v>
      </c>
      <c r="M152" s="4">
        <v>189.0</v>
      </c>
      <c r="N152" s="4">
        <v>92.0</v>
      </c>
      <c r="O152" s="4">
        <v>46.0</v>
      </c>
      <c r="P152" s="4">
        <v>284.0</v>
      </c>
      <c r="Q152" s="4">
        <v>142.0</v>
      </c>
      <c r="R152" s="4">
        <v>510.0</v>
      </c>
      <c r="S152" s="4">
        <v>204.0</v>
      </c>
      <c r="T152" s="4">
        <v>675.0</v>
      </c>
      <c r="U152" s="4">
        <v>455.0</v>
      </c>
      <c r="V152" s="4">
        <v>729.0</v>
      </c>
      <c r="W152" s="4">
        <v>239.0</v>
      </c>
      <c r="X152" s="4">
        <v>1027.0</v>
      </c>
      <c r="Y152" s="4">
        <v>383.0</v>
      </c>
      <c r="Z152" s="4">
        <v>88.0</v>
      </c>
      <c r="AA152" s="4">
        <v>36.0</v>
      </c>
      <c r="AB152" s="4">
        <v>49.0</v>
      </c>
      <c r="AC152" s="4">
        <v>23.0</v>
      </c>
      <c r="AD152" s="4">
        <v>30.0</v>
      </c>
      <c r="AE152" s="4">
        <v>30.0</v>
      </c>
      <c r="AF152" s="4">
        <v>14.0</v>
      </c>
      <c r="AG152" s="4">
        <v>14.0</v>
      </c>
    </row>
    <row r="153" ht="15.75" customHeight="1">
      <c r="A153" s="4" t="s">
        <v>297</v>
      </c>
      <c r="B153" s="4" t="s">
        <v>298</v>
      </c>
      <c r="C153" s="4">
        <v>265.0</v>
      </c>
      <c r="D153" s="4">
        <v>130.0</v>
      </c>
      <c r="E153" s="4">
        <v>40.0</v>
      </c>
      <c r="F153" s="4">
        <v>141.0</v>
      </c>
      <c r="G153" s="4">
        <v>81.0</v>
      </c>
      <c r="H153" s="4">
        <v>42.0</v>
      </c>
      <c r="I153" s="4">
        <v>222.0</v>
      </c>
      <c r="J153" s="4">
        <v>112.0</v>
      </c>
      <c r="K153" s="4">
        <v>40.0</v>
      </c>
      <c r="L153" s="4">
        <v>189.0</v>
      </c>
      <c r="M153" s="4">
        <v>189.0</v>
      </c>
      <c r="N153" s="4">
        <v>230.0</v>
      </c>
      <c r="O153" s="4">
        <v>138.0</v>
      </c>
      <c r="P153" s="4">
        <v>639.0</v>
      </c>
      <c r="Q153" s="4">
        <v>284.0</v>
      </c>
      <c r="R153" s="4">
        <v>714.0</v>
      </c>
      <c r="S153" s="4">
        <v>459.0</v>
      </c>
      <c r="T153" s="4">
        <v>455.0</v>
      </c>
      <c r="U153" s="60">
        <v>-15.0</v>
      </c>
      <c r="V153" s="4">
        <v>239.0</v>
      </c>
      <c r="W153" s="4">
        <v>214.0</v>
      </c>
      <c r="X153" s="4">
        <v>983.0</v>
      </c>
      <c r="Y153" s="60">
        <v>-97.0</v>
      </c>
      <c r="Z153" s="4">
        <v>76.0</v>
      </c>
      <c r="AA153" s="4">
        <v>26.0</v>
      </c>
      <c r="AB153" s="4">
        <v>63.0</v>
      </c>
      <c r="AC153" s="4">
        <v>35.0</v>
      </c>
      <c r="AD153" s="4">
        <v>30.0</v>
      </c>
      <c r="AE153" s="4">
        <v>30.0</v>
      </c>
      <c r="AF153" s="4">
        <v>14.0</v>
      </c>
      <c r="AG153" s="4">
        <v>9.0</v>
      </c>
    </row>
    <row r="154" ht="15.75" customHeight="1">
      <c r="A154" s="4" t="s">
        <v>299</v>
      </c>
      <c r="B154" s="4" t="s">
        <v>300</v>
      </c>
      <c r="C154" s="4">
        <v>130.0</v>
      </c>
      <c r="D154" s="4">
        <v>111.0</v>
      </c>
      <c r="E154" s="4">
        <v>40.0</v>
      </c>
      <c r="F154" s="4">
        <v>281.0</v>
      </c>
      <c r="G154" s="4">
        <v>265.0</v>
      </c>
      <c r="H154" s="4">
        <v>42.0</v>
      </c>
      <c r="I154" s="4">
        <v>112.0</v>
      </c>
      <c r="J154" s="4">
        <v>68.0</v>
      </c>
      <c r="K154" s="4">
        <v>40.0</v>
      </c>
      <c r="L154" s="4">
        <v>189.0</v>
      </c>
      <c r="M154" s="4">
        <v>189.0</v>
      </c>
      <c r="N154" s="4">
        <v>138.0</v>
      </c>
      <c r="O154" s="4">
        <v>92.0</v>
      </c>
      <c r="P154" s="4">
        <v>639.0</v>
      </c>
      <c r="Q154" s="60">
        <v>0.0</v>
      </c>
      <c r="R154" s="4">
        <v>459.0</v>
      </c>
      <c r="S154" s="4">
        <v>408.0</v>
      </c>
      <c r="T154" s="4">
        <v>585.0</v>
      </c>
      <c r="U154" s="4">
        <v>210.0</v>
      </c>
      <c r="V154" s="4">
        <v>814.0</v>
      </c>
      <c r="W154" s="4">
        <v>614.0</v>
      </c>
      <c r="X154" s="4">
        <v>503.0</v>
      </c>
      <c r="Y154" s="4">
        <v>453.0</v>
      </c>
      <c r="Z154" s="4">
        <v>66.0</v>
      </c>
      <c r="AA154" s="4">
        <v>33.0</v>
      </c>
      <c r="AB154" s="4">
        <v>75.0</v>
      </c>
      <c r="AC154" s="4">
        <v>20.0</v>
      </c>
      <c r="AD154" s="4">
        <v>30.0</v>
      </c>
      <c r="AE154" s="4">
        <v>30.0</v>
      </c>
      <c r="AF154" s="4">
        <v>9.0</v>
      </c>
      <c r="AG154" s="4">
        <v>4.0</v>
      </c>
    </row>
    <row r="155" ht="15.75" customHeight="1">
      <c r="A155" s="4" t="s">
        <v>301</v>
      </c>
      <c r="B155" s="4" t="s">
        <v>302</v>
      </c>
      <c r="C155" s="4">
        <v>111.0</v>
      </c>
      <c r="D155" s="4">
        <v>47.0</v>
      </c>
      <c r="E155" s="4">
        <v>40.0</v>
      </c>
      <c r="F155" s="4">
        <v>265.0</v>
      </c>
      <c r="G155" s="4">
        <v>225.0</v>
      </c>
      <c r="H155" s="4">
        <v>42.0</v>
      </c>
      <c r="I155" s="4">
        <v>268.0</v>
      </c>
      <c r="J155" s="4">
        <v>256.0</v>
      </c>
      <c r="K155" s="4">
        <v>40.0</v>
      </c>
      <c r="L155" s="4">
        <v>189.0</v>
      </c>
      <c r="M155" s="4">
        <v>186.0</v>
      </c>
      <c r="N155" s="4">
        <v>276.0</v>
      </c>
      <c r="O155" s="4">
        <v>230.0</v>
      </c>
      <c r="P155" s="4">
        <v>639.0</v>
      </c>
      <c r="Q155" s="4">
        <v>497.0</v>
      </c>
      <c r="R155" s="4">
        <v>408.0</v>
      </c>
      <c r="S155" s="4">
        <v>51.0</v>
      </c>
      <c r="T155" s="4">
        <v>810.0</v>
      </c>
      <c r="U155" s="4">
        <v>540.0</v>
      </c>
      <c r="V155" s="4">
        <v>614.0</v>
      </c>
      <c r="W155" s="4">
        <v>559.0</v>
      </c>
      <c r="X155" s="4">
        <v>853.0</v>
      </c>
      <c r="Y155" s="4">
        <v>353.0</v>
      </c>
      <c r="Z155" s="4">
        <v>73.0</v>
      </c>
      <c r="AA155" s="4">
        <v>45.0</v>
      </c>
      <c r="AB155" s="4">
        <v>60.0</v>
      </c>
      <c r="AC155" s="4">
        <v>60.0</v>
      </c>
      <c r="AD155" s="4">
        <v>30.0</v>
      </c>
      <c r="AE155" s="4">
        <v>30.0</v>
      </c>
      <c r="AF155" s="4">
        <v>9.0</v>
      </c>
      <c r="AG155" s="4">
        <v>9.0</v>
      </c>
    </row>
    <row r="156" ht="15.75" customHeight="1">
      <c r="A156" s="4" t="s">
        <v>303</v>
      </c>
      <c r="B156" s="4" t="s">
        <v>304</v>
      </c>
      <c r="C156" s="4">
        <v>247.0</v>
      </c>
      <c r="D156" s="4">
        <v>230.0</v>
      </c>
      <c r="E156" s="4">
        <v>40.0</v>
      </c>
      <c r="F156" s="4">
        <v>225.0</v>
      </c>
      <c r="G156" s="4">
        <v>222.0</v>
      </c>
      <c r="H156" s="4">
        <v>42.0</v>
      </c>
      <c r="I156" s="4">
        <v>256.0</v>
      </c>
      <c r="J156" s="4">
        <v>164.0</v>
      </c>
      <c r="K156" s="4">
        <v>40.0</v>
      </c>
      <c r="L156" s="4">
        <v>186.0</v>
      </c>
      <c r="M156" s="4">
        <v>186.0</v>
      </c>
      <c r="N156" s="4">
        <v>230.0</v>
      </c>
      <c r="O156" s="4">
        <v>184.0</v>
      </c>
      <c r="P156" s="4">
        <v>497.0</v>
      </c>
      <c r="Q156" s="4">
        <v>71.0</v>
      </c>
      <c r="R156" s="4">
        <v>561.0</v>
      </c>
      <c r="S156" s="4">
        <v>306.0</v>
      </c>
      <c r="T156" s="4">
        <v>540.0</v>
      </c>
      <c r="U156" s="4">
        <v>420.0</v>
      </c>
      <c r="V156" s="4">
        <v>559.0</v>
      </c>
      <c r="W156" s="4">
        <v>9.0</v>
      </c>
      <c r="X156" s="4">
        <v>353.0</v>
      </c>
      <c r="Y156" s="4">
        <v>143.0</v>
      </c>
      <c r="Z156" s="4">
        <v>85.0</v>
      </c>
      <c r="AA156" s="4">
        <v>40.0</v>
      </c>
      <c r="AB156" s="4">
        <v>60.0</v>
      </c>
      <c r="AC156" s="4">
        <v>21.0</v>
      </c>
      <c r="AD156" s="4">
        <v>30.0</v>
      </c>
      <c r="AE156" s="4">
        <v>30.0</v>
      </c>
      <c r="AF156" s="4">
        <v>9.0</v>
      </c>
      <c r="AG156" s="4">
        <v>9.0</v>
      </c>
    </row>
    <row r="157" ht="15.75" customHeight="1">
      <c r="A157" s="4" t="s">
        <v>305</v>
      </c>
      <c r="B157" s="4" t="s">
        <v>306</v>
      </c>
      <c r="C157" s="4">
        <v>230.0</v>
      </c>
      <c r="D157" s="4">
        <v>162.0</v>
      </c>
      <c r="E157" s="4">
        <v>40.0</v>
      </c>
      <c r="F157" s="4">
        <v>222.0</v>
      </c>
      <c r="G157" s="4">
        <v>222.0</v>
      </c>
      <c r="H157" s="4">
        <v>42.0</v>
      </c>
      <c r="I157" s="4">
        <v>164.0</v>
      </c>
      <c r="J157" s="4">
        <v>57.0</v>
      </c>
      <c r="K157" s="4">
        <v>40.0</v>
      </c>
      <c r="L157" s="4">
        <v>186.0</v>
      </c>
      <c r="M157" s="4">
        <v>182.0</v>
      </c>
      <c r="N157" s="4">
        <v>184.0</v>
      </c>
      <c r="O157" s="4">
        <v>184.0</v>
      </c>
      <c r="P157" s="4">
        <v>568.0</v>
      </c>
      <c r="Q157" s="4">
        <v>355.0</v>
      </c>
      <c r="R157" s="4">
        <v>612.0</v>
      </c>
      <c r="S157" s="4">
        <v>153.0</v>
      </c>
      <c r="T157" s="4">
        <v>420.0</v>
      </c>
      <c r="U157" s="4">
        <v>420.0</v>
      </c>
      <c r="V157" s="4">
        <v>609.0</v>
      </c>
      <c r="W157" s="60">
        <v>-41.0</v>
      </c>
      <c r="X157" s="4">
        <v>743.0</v>
      </c>
      <c r="Y157" s="4">
        <v>598.0</v>
      </c>
      <c r="Z157" s="4">
        <v>80.0</v>
      </c>
      <c r="AA157" s="4">
        <v>55.0</v>
      </c>
      <c r="AB157" s="4">
        <v>61.0</v>
      </c>
      <c r="AC157" s="4">
        <v>36.0</v>
      </c>
      <c r="AD157" s="4">
        <v>30.0</v>
      </c>
      <c r="AE157" s="4">
        <v>30.0</v>
      </c>
      <c r="AF157" s="4">
        <v>9.0</v>
      </c>
      <c r="AG157" s="4">
        <v>5.0</v>
      </c>
    </row>
    <row r="158" ht="15.75" customHeight="1">
      <c r="A158" s="4" t="s">
        <v>307</v>
      </c>
      <c r="B158" s="4" t="s">
        <v>308</v>
      </c>
      <c r="C158" s="4">
        <v>162.0</v>
      </c>
      <c r="D158" s="4">
        <v>145.0</v>
      </c>
      <c r="E158" s="4">
        <v>40.0</v>
      </c>
      <c r="F158" s="4">
        <v>222.0</v>
      </c>
      <c r="G158" s="4">
        <v>126.0</v>
      </c>
      <c r="H158" s="4">
        <v>42.0</v>
      </c>
      <c r="I158" s="4">
        <v>157.0</v>
      </c>
      <c r="J158" s="4">
        <v>123.0</v>
      </c>
      <c r="K158" s="4">
        <v>40.0</v>
      </c>
      <c r="L158" s="4">
        <v>182.0</v>
      </c>
      <c r="M158" s="4">
        <v>180.0</v>
      </c>
      <c r="N158" s="4">
        <v>184.0</v>
      </c>
      <c r="O158" s="4">
        <v>184.0</v>
      </c>
      <c r="P158" s="4">
        <v>852.0</v>
      </c>
      <c r="Q158" s="4">
        <v>852.0</v>
      </c>
      <c r="R158" s="4">
        <v>459.0</v>
      </c>
      <c r="S158" s="4">
        <v>255.0</v>
      </c>
      <c r="T158" s="4">
        <v>420.0</v>
      </c>
      <c r="U158" s="4">
        <v>300.0</v>
      </c>
      <c r="V158" s="4">
        <v>559.0</v>
      </c>
      <c r="W158" s="4">
        <v>189.0</v>
      </c>
      <c r="X158" s="4">
        <v>598.0</v>
      </c>
      <c r="Y158" s="4">
        <v>98.0</v>
      </c>
      <c r="Z158" s="4">
        <v>95.0</v>
      </c>
      <c r="AA158" s="4">
        <v>25.0</v>
      </c>
      <c r="AB158" s="4">
        <v>76.0</v>
      </c>
      <c r="AC158" s="4">
        <v>44.0</v>
      </c>
      <c r="AD158" s="4">
        <v>30.0</v>
      </c>
      <c r="AE158" s="4">
        <v>30.0</v>
      </c>
      <c r="AF158" s="4">
        <v>5.0</v>
      </c>
      <c r="AG158" s="4">
        <v>5.0</v>
      </c>
    </row>
    <row r="159" ht="15.75" customHeight="1">
      <c r="A159" s="4" t="s">
        <v>309</v>
      </c>
      <c r="B159" s="4" t="s">
        <v>310</v>
      </c>
      <c r="C159" s="4">
        <v>145.0</v>
      </c>
      <c r="D159" s="4">
        <v>120.0</v>
      </c>
      <c r="E159" s="4">
        <v>40.0</v>
      </c>
      <c r="F159" s="4">
        <v>126.0</v>
      </c>
      <c r="G159" s="4">
        <v>103.0</v>
      </c>
      <c r="H159" s="4">
        <v>42.0</v>
      </c>
      <c r="I159" s="4">
        <v>157.0</v>
      </c>
      <c r="J159" s="4">
        <v>49.0</v>
      </c>
      <c r="K159" s="4">
        <v>40.0</v>
      </c>
      <c r="L159" s="4">
        <v>180.0</v>
      </c>
      <c r="M159" s="4">
        <v>151.0</v>
      </c>
      <c r="N159" s="4">
        <v>184.0</v>
      </c>
      <c r="O159" s="4">
        <v>138.0</v>
      </c>
      <c r="P159" s="4">
        <v>852.0</v>
      </c>
      <c r="Q159" s="4">
        <v>568.0</v>
      </c>
      <c r="R159" s="4">
        <v>765.0</v>
      </c>
      <c r="S159" s="60">
        <v>-255.0</v>
      </c>
      <c r="T159" s="4">
        <v>800.0</v>
      </c>
      <c r="U159" s="4">
        <v>800.0</v>
      </c>
      <c r="V159" s="4">
        <v>689.0</v>
      </c>
      <c r="W159" s="4">
        <v>39.0</v>
      </c>
      <c r="X159" s="4">
        <v>598.0</v>
      </c>
      <c r="Y159" s="4">
        <v>73.0</v>
      </c>
      <c r="Z159" s="4">
        <v>65.0</v>
      </c>
      <c r="AA159" s="4">
        <v>46.0</v>
      </c>
      <c r="AB159" s="4">
        <v>84.0</v>
      </c>
      <c r="AC159" s="4">
        <v>71.0</v>
      </c>
      <c r="AD159" s="4">
        <v>30.0</v>
      </c>
      <c r="AE159" s="4">
        <v>25.0</v>
      </c>
      <c r="AF159" s="4">
        <v>10.0</v>
      </c>
      <c r="AG159" s="4">
        <v>2.0</v>
      </c>
    </row>
    <row r="160" ht="15.75" customHeight="1">
      <c r="A160" s="4" t="s">
        <v>311</v>
      </c>
      <c r="B160" s="4" t="s">
        <v>312</v>
      </c>
      <c r="C160" s="4">
        <v>120.0</v>
      </c>
      <c r="D160" s="4">
        <v>52.0</v>
      </c>
      <c r="E160" s="4">
        <v>40.0</v>
      </c>
      <c r="F160" s="4">
        <v>126.0</v>
      </c>
      <c r="G160" s="4">
        <v>32.0</v>
      </c>
      <c r="H160" s="4">
        <v>42.0</v>
      </c>
      <c r="I160" s="4">
        <v>149.0</v>
      </c>
      <c r="J160" s="4">
        <v>89.0</v>
      </c>
      <c r="K160" s="4">
        <v>40.0</v>
      </c>
      <c r="L160" s="4">
        <v>151.0</v>
      </c>
      <c r="M160" s="4">
        <v>151.0</v>
      </c>
      <c r="N160" s="4">
        <v>138.0</v>
      </c>
      <c r="O160" s="4">
        <v>138.0</v>
      </c>
      <c r="P160" s="4">
        <v>568.0</v>
      </c>
      <c r="Q160" s="4">
        <v>213.0</v>
      </c>
      <c r="R160" s="4">
        <v>714.0</v>
      </c>
      <c r="S160" s="4">
        <v>306.0</v>
      </c>
      <c r="T160" s="4">
        <v>800.0</v>
      </c>
      <c r="U160" s="4">
        <v>625.0</v>
      </c>
      <c r="V160" s="4">
        <v>539.0</v>
      </c>
      <c r="W160" s="4">
        <v>179.0</v>
      </c>
      <c r="X160" s="4">
        <v>573.0</v>
      </c>
      <c r="Y160" s="4">
        <v>223.0</v>
      </c>
      <c r="Z160" s="4">
        <v>86.0</v>
      </c>
      <c r="AA160" s="4">
        <v>66.0</v>
      </c>
      <c r="AB160" s="4">
        <v>71.0</v>
      </c>
      <c r="AC160" s="4">
        <v>42.0</v>
      </c>
      <c r="AD160" s="4">
        <v>25.0</v>
      </c>
      <c r="AE160" s="4">
        <v>25.0</v>
      </c>
      <c r="AF160" s="4">
        <v>10.0</v>
      </c>
      <c r="AG160" s="4">
        <v>10.0</v>
      </c>
    </row>
    <row r="161" ht="15.75" customHeight="1">
      <c r="A161" s="4" t="s">
        <v>313</v>
      </c>
      <c r="B161" s="4" t="s">
        <v>314</v>
      </c>
      <c r="C161" s="4">
        <v>152.0</v>
      </c>
      <c r="D161" s="4">
        <v>38.0</v>
      </c>
      <c r="E161" s="4">
        <v>40.0</v>
      </c>
      <c r="F161" s="4">
        <v>232.0</v>
      </c>
      <c r="G161" s="4">
        <v>67.0</v>
      </c>
      <c r="H161" s="4">
        <v>42.0</v>
      </c>
      <c r="I161" s="4">
        <v>189.0</v>
      </c>
      <c r="J161" s="4">
        <v>174.0</v>
      </c>
      <c r="K161" s="4">
        <v>40.0</v>
      </c>
      <c r="L161" s="4">
        <v>151.0</v>
      </c>
      <c r="M161" s="4">
        <v>151.0</v>
      </c>
      <c r="N161" s="4">
        <v>138.0</v>
      </c>
      <c r="O161" s="4">
        <v>138.0</v>
      </c>
      <c r="P161" s="4">
        <v>568.0</v>
      </c>
      <c r="Q161" s="4">
        <v>284.0</v>
      </c>
      <c r="R161" s="4">
        <v>714.0</v>
      </c>
      <c r="S161" s="4">
        <v>359.0</v>
      </c>
      <c r="T161" s="4">
        <v>625.0</v>
      </c>
      <c r="U161" s="4">
        <v>575.0</v>
      </c>
      <c r="V161" s="4">
        <v>679.0</v>
      </c>
      <c r="W161" s="4">
        <v>549.0</v>
      </c>
      <c r="X161" s="4">
        <v>723.0</v>
      </c>
      <c r="Y161" s="4">
        <v>83.0</v>
      </c>
      <c r="Z161" s="4">
        <v>66.0</v>
      </c>
      <c r="AA161" s="4">
        <v>66.0</v>
      </c>
      <c r="AB161" s="4">
        <v>42.0</v>
      </c>
      <c r="AC161" s="4">
        <v>7.0</v>
      </c>
      <c r="AD161" s="4">
        <v>25.0</v>
      </c>
      <c r="AE161" s="4">
        <v>25.0</v>
      </c>
      <c r="AF161" s="4">
        <v>10.0</v>
      </c>
      <c r="AG161" s="4">
        <v>8.0</v>
      </c>
    </row>
    <row r="162" ht="15.75" customHeight="1">
      <c r="A162" s="4" t="s">
        <v>315</v>
      </c>
      <c r="B162" s="4" t="s">
        <v>316</v>
      </c>
      <c r="C162" s="4">
        <v>138.0</v>
      </c>
      <c r="D162" s="4">
        <v>13.0</v>
      </c>
      <c r="E162" s="4">
        <v>40.0</v>
      </c>
      <c r="F162" s="4">
        <v>167.0</v>
      </c>
      <c r="G162" s="4">
        <v>137.0</v>
      </c>
      <c r="H162" s="4">
        <v>42.0</v>
      </c>
      <c r="I162" s="4">
        <v>174.0</v>
      </c>
      <c r="J162" s="4">
        <v>74.0</v>
      </c>
      <c r="K162" s="4">
        <v>40.0</v>
      </c>
      <c r="L162" s="4">
        <v>151.0</v>
      </c>
      <c r="M162" s="4">
        <v>121.0</v>
      </c>
      <c r="N162" s="4">
        <v>138.0</v>
      </c>
      <c r="O162" s="4">
        <v>46.0</v>
      </c>
      <c r="P162" s="4">
        <v>568.0</v>
      </c>
      <c r="Q162" s="4">
        <v>497.0</v>
      </c>
      <c r="R162" s="4">
        <v>665.0</v>
      </c>
      <c r="S162" s="4">
        <v>563.0</v>
      </c>
      <c r="T162" s="4">
        <v>575.0</v>
      </c>
      <c r="U162" s="4">
        <v>250.0</v>
      </c>
      <c r="V162" s="4">
        <v>549.0</v>
      </c>
      <c r="W162" s="4">
        <v>249.0</v>
      </c>
      <c r="X162" s="4">
        <v>583.0</v>
      </c>
      <c r="Y162" s="4">
        <v>368.0</v>
      </c>
      <c r="Z162" s="4">
        <v>66.0</v>
      </c>
      <c r="AA162" s="4">
        <v>56.0</v>
      </c>
      <c r="AB162" s="4">
        <v>47.0</v>
      </c>
      <c r="AC162" s="4">
        <v>23.0</v>
      </c>
      <c r="AD162" s="4">
        <v>25.0</v>
      </c>
      <c r="AE162" s="4">
        <v>15.0</v>
      </c>
      <c r="AF162" s="4">
        <v>8.0</v>
      </c>
      <c r="AG162" s="4">
        <v>8.0</v>
      </c>
    </row>
    <row r="163" ht="15.75" customHeight="1">
      <c r="A163" s="4" t="s">
        <v>317</v>
      </c>
      <c r="B163" s="4" t="s">
        <v>318</v>
      </c>
      <c r="C163" s="4">
        <v>113.0</v>
      </c>
      <c r="D163" s="4">
        <v>83.0</v>
      </c>
      <c r="E163" s="4">
        <v>40.0</v>
      </c>
      <c r="F163" s="4">
        <v>137.0</v>
      </c>
      <c r="G163" s="4">
        <v>67.0</v>
      </c>
      <c r="H163" s="4">
        <v>42.0</v>
      </c>
      <c r="I163" s="4">
        <v>174.0</v>
      </c>
      <c r="J163" s="4">
        <v>112.0</v>
      </c>
      <c r="K163" s="4">
        <v>40.0</v>
      </c>
      <c r="L163" s="4">
        <v>121.0</v>
      </c>
      <c r="M163" s="4">
        <v>56.0</v>
      </c>
      <c r="N163" s="4">
        <v>230.0</v>
      </c>
      <c r="O163" s="4">
        <v>230.0</v>
      </c>
      <c r="P163" s="4">
        <v>497.0</v>
      </c>
      <c r="Q163" s="4">
        <v>355.0</v>
      </c>
      <c r="R163" s="4">
        <v>563.0</v>
      </c>
      <c r="S163" s="4">
        <v>308.0</v>
      </c>
      <c r="T163" s="4">
        <v>550.0</v>
      </c>
      <c r="U163" s="4">
        <v>300.0</v>
      </c>
      <c r="V163" s="4">
        <v>549.0</v>
      </c>
      <c r="W163" s="4">
        <v>349.0</v>
      </c>
      <c r="X163" s="4">
        <v>668.0</v>
      </c>
      <c r="Y163" s="4">
        <v>568.0</v>
      </c>
      <c r="Z163" s="4">
        <v>56.0</v>
      </c>
      <c r="AA163" s="4">
        <v>36.0</v>
      </c>
      <c r="AB163" s="4">
        <v>63.0</v>
      </c>
      <c r="AC163" s="4">
        <v>11.0</v>
      </c>
      <c r="AD163" s="4">
        <v>35.0</v>
      </c>
      <c r="AE163" s="4">
        <v>25.0</v>
      </c>
      <c r="AF163" s="4">
        <v>8.0</v>
      </c>
      <c r="AG163" s="4">
        <v>3.0</v>
      </c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.75" customHeight="1">
      <c r="A166" s="5"/>
      <c r="B166" s="5"/>
      <c r="C166" s="5"/>
      <c r="D166" s="5"/>
      <c r="E166" s="5"/>
      <c r="F166" s="5"/>
      <c r="G166" s="5"/>
      <c r="H166" s="58" t="s">
        <v>264</v>
      </c>
      <c r="I166" s="59" t="s">
        <v>265</v>
      </c>
      <c r="J166" s="59" t="s">
        <v>266</v>
      </c>
      <c r="K166" s="59"/>
      <c r="L166" s="59" t="s">
        <v>366</v>
      </c>
      <c r="M166" s="5"/>
      <c r="N166" s="5"/>
      <c r="O166" s="58" t="s">
        <v>264</v>
      </c>
      <c r="P166" s="59" t="s">
        <v>265</v>
      </c>
      <c r="Q166" s="59" t="s">
        <v>266</v>
      </c>
      <c r="R166" s="59" t="s">
        <v>366</v>
      </c>
      <c r="S166" s="58" t="s">
        <v>264</v>
      </c>
      <c r="T166" s="59" t="s">
        <v>265</v>
      </c>
      <c r="U166" s="59" t="s">
        <v>266</v>
      </c>
      <c r="V166" s="4" t="s">
        <v>366</v>
      </c>
      <c r="W166" s="58" t="s">
        <v>264</v>
      </c>
      <c r="X166" s="59" t="s">
        <v>265</v>
      </c>
      <c r="Y166" s="59" t="s">
        <v>266</v>
      </c>
      <c r="Z166" s="4" t="s">
        <v>366</v>
      </c>
      <c r="AD166" s="58" t="s">
        <v>264</v>
      </c>
      <c r="AE166" s="101" t="s">
        <v>265</v>
      </c>
      <c r="AF166" s="101" t="s">
        <v>266</v>
      </c>
      <c r="AG166" s="4" t="s">
        <v>366</v>
      </c>
    </row>
    <row r="167" ht="15.75" customHeight="1">
      <c r="A167" s="5"/>
      <c r="B167" s="5"/>
      <c r="C167" s="5"/>
      <c r="D167" s="5"/>
      <c r="E167" s="5"/>
      <c r="F167" s="5"/>
      <c r="G167" s="5"/>
      <c r="H167" s="4" t="s">
        <v>268</v>
      </c>
      <c r="I167" s="4">
        <v>80.0</v>
      </c>
      <c r="J167" s="4">
        <v>55.0</v>
      </c>
      <c r="K167" s="4"/>
      <c r="L167" s="4">
        <v>42.0</v>
      </c>
      <c r="M167" s="5"/>
      <c r="N167" s="5"/>
      <c r="O167" s="4" t="s">
        <v>268</v>
      </c>
      <c r="P167" s="4">
        <v>150.0</v>
      </c>
      <c r="Q167" s="4">
        <v>55.0</v>
      </c>
      <c r="R167" s="4">
        <v>40.0</v>
      </c>
      <c r="S167" s="4" t="s">
        <v>268</v>
      </c>
      <c r="T167" s="4">
        <v>85.0</v>
      </c>
      <c r="U167" s="4">
        <v>85.0</v>
      </c>
      <c r="V167" s="4">
        <v>40.0</v>
      </c>
      <c r="W167" s="4" t="s">
        <v>268</v>
      </c>
      <c r="X167" s="26">
        <v>426.0</v>
      </c>
      <c r="Y167" s="26">
        <v>213.0</v>
      </c>
      <c r="Z167" s="4">
        <v>283.0</v>
      </c>
      <c r="AD167" s="4" t="s">
        <v>268</v>
      </c>
      <c r="AE167" s="26">
        <v>408.0</v>
      </c>
      <c r="AF167" s="26">
        <v>255.0</v>
      </c>
      <c r="AG167" s="4">
        <v>271.0</v>
      </c>
    </row>
    <row r="168" ht="15.75" customHeight="1">
      <c r="A168" s="5"/>
      <c r="B168" s="5"/>
      <c r="C168" s="5"/>
      <c r="D168" s="5"/>
      <c r="E168" s="5"/>
      <c r="F168" s="5"/>
      <c r="G168" s="5"/>
      <c r="H168" s="4" t="s">
        <v>270</v>
      </c>
      <c r="I168" s="4">
        <v>55.0</v>
      </c>
      <c r="J168" s="4">
        <v>12.0</v>
      </c>
      <c r="K168" s="4"/>
      <c r="L168" s="4">
        <v>42.0</v>
      </c>
      <c r="M168" s="5"/>
      <c r="N168" s="5"/>
      <c r="O168" s="4" t="s">
        <v>270</v>
      </c>
      <c r="P168" s="4">
        <v>255.0</v>
      </c>
      <c r="Q168" s="4">
        <v>253.0</v>
      </c>
      <c r="R168" s="4">
        <v>40.0</v>
      </c>
      <c r="S168" s="4" t="s">
        <v>270</v>
      </c>
      <c r="T168" s="4">
        <v>85.0</v>
      </c>
      <c r="U168" s="4">
        <v>81.0</v>
      </c>
      <c r="V168" s="4">
        <v>40.0</v>
      </c>
      <c r="W168" s="4" t="s">
        <v>270</v>
      </c>
      <c r="X168" s="26">
        <v>213.0</v>
      </c>
      <c r="Y168" s="26">
        <v>0.0</v>
      </c>
      <c r="Z168" s="4">
        <v>283.0</v>
      </c>
      <c r="AD168" s="4" t="s">
        <v>270</v>
      </c>
      <c r="AE168" s="26">
        <v>510.0</v>
      </c>
      <c r="AF168" s="26">
        <v>357.0</v>
      </c>
      <c r="AG168" s="4">
        <v>271.0</v>
      </c>
    </row>
    <row r="169" ht="15.75" customHeight="1">
      <c r="A169" s="5"/>
      <c r="B169" s="5"/>
      <c r="C169" s="5"/>
      <c r="D169" s="5"/>
      <c r="E169" s="5"/>
      <c r="F169" s="5"/>
      <c r="G169" s="5"/>
      <c r="H169" s="4" t="s">
        <v>272</v>
      </c>
      <c r="I169" s="4">
        <v>112.0</v>
      </c>
      <c r="J169" s="4">
        <v>111.0</v>
      </c>
      <c r="K169" s="4"/>
      <c r="L169" s="4">
        <v>42.0</v>
      </c>
      <c r="M169" s="5"/>
      <c r="N169" s="5"/>
      <c r="O169" s="4" t="s">
        <v>272</v>
      </c>
      <c r="P169" s="4">
        <v>253.0</v>
      </c>
      <c r="Q169" s="4">
        <v>240.0</v>
      </c>
      <c r="R169" s="4">
        <v>40.0</v>
      </c>
      <c r="S169" s="4" t="s">
        <v>272</v>
      </c>
      <c r="T169" s="4">
        <v>81.0</v>
      </c>
      <c r="U169" s="4">
        <v>51.0</v>
      </c>
      <c r="V169" s="4">
        <v>40.0</v>
      </c>
      <c r="W169" s="4" t="s">
        <v>272</v>
      </c>
      <c r="X169" s="26">
        <v>355.0</v>
      </c>
      <c r="Y169" s="26">
        <v>0.0</v>
      </c>
      <c r="Z169" s="4">
        <v>283.0</v>
      </c>
      <c r="AD169" s="4" t="s">
        <v>272</v>
      </c>
      <c r="AE169" s="26">
        <v>357.0</v>
      </c>
      <c r="AF169" s="26">
        <v>102.0</v>
      </c>
      <c r="AG169" s="4">
        <v>271.0</v>
      </c>
    </row>
    <row r="170" ht="15.75" customHeight="1">
      <c r="A170" s="5"/>
      <c r="B170" s="5"/>
      <c r="C170" s="5"/>
      <c r="D170" s="5"/>
      <c r="E170" s="5"/>
      <c r="F170" s="5"/>
      <c r="G170" s="5"/>
      <c r="H170" s="4" t="s">
        <v>274</v>
      </c>
      <c r="I170" s="4">
        <v>111.0</v>
      </c>
      <c r="J170" s="4">
        <v>86.0</v>
      </c>
      <c r="K170" s="4"/>
      <c r="L170" s="4">
        <v>42.0</v>
      </c>
      <c r="M170" s="5"/>
      <c r="N170" s="5"/>
      <c r="O170" s="4" t="s">
        <v>274</v>
      </c>
      <c r="P170" s="4">
        <v>240.0</v>
      </c>
      <c r="Q170" s="4">
        <v>240.0</v>
      </c>
      <c r="R170" s="4">
        <v>40.0</v>
      </c>
      <c r="S170" s="4" t="s">
        <v>274</v>
      </c>
      <c r="T170" s="4">
        <v>51.0</v>
      </c>
      <c r="U170" s="4">
        <v>51.0</v>
      </c>
      <c r="V170" s="4">
        <v>40.0</v>
      </c>
      <c r="W170" s="4" t="s">
        <v>274</v>
      </c>
      <c r="X170" s="26">
        <v>355.0</v>
      </c>
      <c r="Y170" s="26">
        <v>71.0</v>
      </c>
      <c r="Z170" s="4">
        <v>283.0</v>
      </c>
      <c r="AD170" s="4" t="s">
        <v>274</v>
      </c>
      <c r="AE170" s="26">
        <v>306.0</v>
      </c>
      <c r="AF170" s="26">
        <f>306-102</f>
        <v>204</v>
      </c>
      <c r="AG170" s="4">
        <v>271.0</v>
      </c>
    </row>
    <row r="171" ht="15.75" customHeight="1">
      <c r="A171" s="5"/>
      <c r="B171" s="5"/>
      <c r="C171" s="5"/>
      <c r="D171" s="5"/>
      <c r="E171" s="5"/>
      <c r="F171" s="5"/>
      <c r="G171" s="5"/>
      <c r="H171" s="4" t="s">
        <v>276</v>
      </c>
      <c r="I171" s="4">
        <v>86.0</v>
      </c>
      <c r="J171" s="4">
        <v>73.0</v>
      </c>
      <c r="K171" s="4"/>
      <c r="L171" s="4">
        <v>42.0</v>
      </c>
      <c r="M171" s="5"/>
      <c r="N171" s="5"/>
      <c r="O171" s="4" t="s">
        <v>276</v>
      </c>
      <c r="P171" s="4">
        <v>240.0</v>
      </c>
      <c r="Q171" s="4">
        <v>237.0</v>
      </c>
      <c r="R171" s="4">
        <v>40.0</v>
      </c>
      <c r="S171" s="4" t="s">
        <v>276</v>
      </c>
      <c r="T171" s="4">
        <v>151.0</v>
      </c>
      <c r="U171" s="4">
        <v>151.0</v>
      </c>
      <c r="V171" s="4">
        <v>40.0</v>
      </c>
      <c r="W171" s="4" t="s">
        <v>276</v>
      </c>
      <c r="X171" s="26">
        <v>426.0</v>
      </c>
      <c r="Y171" s="26">
        <v>142.0</v>
      </c>
      <c r="Z171" s="4">
        <v>283.0</v>
      </c>
      <c r="AD171" s="4" t="s">
        <v>276</v>
      </c>
      <c r="AE171" s="26">
        <v>306.0</v>
      </c>
      <c r="AF171" s="26">
        <v>0.0</v>
      </c>
      <c r="AG171" s="4">
        <v>271.0</v>
      </c>
    </row>
    <row r="172" ht="15.75" customHeight="1">
      <c r="A172" s="5"/>
      <c r="B172" s="5"/>
      <c r="C172" s="5"/>
      <c r="D172" s="5"/>
      <c r="E172" s="5"/>
      <c r="F172" s="5"/>
      <c r="G172" s="5"/>
      <c r="H172" s="4" t="s">
        <v>278</v>
      </c>
      <c r="I172" s="4">
        <v>173.0</v>
      </c>
      <c r="J172" s="4">
        <v>98.0</v>
      </c>
      <c r="K172" s="4"/>
      <c r="L172" s="4">
        <v>42.0</v>
      </c>
      <c r="M172" s="5"/>
      <c r="N172" s="5"/>
      <c r="O172" s="4" t="s">
        <v>278</v>
      </c>
      <c r="P172" s="4">
        <v>237.0</v>
      </c>
      <c r="Q172" s="4">
        <v>220.0</v>
      </c>
      <c r="R172" s="4">
        <v>40.0</v>
      </c>
      <c r="S172" s="4" t="s">
        <v>278</v>
      </c>
      <c r="T172" s="4">
        <v>151.0</v>
      </c>
      <c r="U172" s="4">
        <v>151.0</v>
      </c>
      <c r="V172" s="4">
        <v>40.0</v>
      </c>
      <c r="W172" s="4" t="s">
        <v>278</v>
      </c>
      <c r="X172" s="26">
        <v>497.0</v>
      </c>
      <c r="Y172" s="26">
        <v>284.0</v>
      </c>
      <c r="Z172" s="4">
        <v>283.0</v>
      </c>
      <c r="AD172" s="4" t="s">
        <v>278</v>
      </c>
      <c r="AE172" s="26">
        <v>408.0</v>
      </c>
      <c r="AF172" s="26">
        <v>51.0</v>
      </c>
      <c r="AG172" s="4">
        <v>271.0</v>
      </c>
    </row>
    <row r="173" ht="15.75" customHeight="1">
      <c r="A173" s="5"/>
      <c r="B173" s="5"/>
      <c r="C173" s="5"/>
      <c r="D173" s="5"/>
      <c r="E173" s="5"/>
      <c r="F173" s="5"/>
      <c r="G173" s="5"/>
      <c r="H173" s="4" t="s">
        <v>280</v>
      </c>
      <c r="I173" s="4">
        <v>198.0</v>
      </c>
      <c r="J173" s="4">
        <v>153.0</v>
      </c>
      <c r="K173" s="4"/>
      <c r="L173" s="4">
        <v>42.0</v>
      </c>
      <c r="M173" s="5"/>
      <c r="N173" s="5"/>
      <c r="O173" s="4" t="s">
        <v>280</v>
      </c>
      <c r="P173" s="4">
        <v>237.0</v>
      </c>
      <c r="Q173" s="4">
        <v>227.0</v>
      </c>
      <c r="R173" s="4">
        <v>40.0</v>
      </c>
      <c r="S173" s="4" t="s">
        <v>280</v>
      </c>
      <c r="T173" s="4">
        <v>151.0</v>
      </c>
      <c r="U173" s="4">
        <v>119.0</v>
      </c>
      <c r="V173" s="4">
        <v>40.0</v>
      </c>
      <c r="W173" s="4" t="s">
        <v>280</v>
      </c>
      <c r="X173" s="26">
        <v>426.0</v>
      </c>
      <c r="Y173" s="26">
        <v>71.0</v>
      </c>
      <c r="Z173" s="4">
        <v>283.0</v>
      </c>
      <c r="AD173" s="4" t="s">
        <v>280</v>
      </c>
      <c r="AE173" s="26">
        <v>357.0</v>
      </c>
      <c r="AF173" s="26">
        <v>0.0</v>
      </c>
      <c r="AG173" s="4">
        <v>271.0</v>
      </c>
    </row>
    <row r="174" ht="15.75" customHeight="1">
      <c r="A174" s="5"/>
      <c r="B174" s="5"/>
      <c r="C174" s="5"/>
      <c r="D174" s="5"/>
      <c r="E174" s="5"/>
      <c r="F174" s="5"/>
      <c r="G174" s="5"/>
      <c r="H174" s="4" t="s">
        <v>282</v>
      </c>
      <c r="I174" s="4">
        <v>153.0</v>
      </c>
      <c r="J174" s="4">
        <v>89.0</v>
      </c>
      <c r="K174" s="4"/>
      <c r="L174" s="4">
        <v>42.0</v>
      </c>
      <c r="M174" s="5"/>
      <c r="N174" s="5"/>
      <c r="O174" s="4" t="s">
        <v>282</v>
      </c>
      <c r="P174" s="4">
        <v>227.0</v>
      </c>
      <c r="Q174" s="4">
        <v>195.0</v>
      </c>
      <c r="R174" s="4">
        <v>40.0</v>
      </c>
      <c r="S174" s="4" t="s">
        <v>282</v>
      </c>
      <c r="T174" s="4">
        <v>119.0</v>
      </c>
      <c r="U174" s="4">
        <v>115.0</v>
      </c>
      <c r="V174" s="4">
        <v>40.0</v>
      </c>
      <c r="W174" s="4" t="s">
        <v>282</v>
      </c>
      <c r="X174" s="26">
        <v>497.0</v>
      </c>
      <c r="Y174" s="26">
        <v>284.0</v>
      </c>
      <c r="Z174" s="4">
        <v>283.0</v>
      </c>
      <c r="AD174" s="4" t="s">
        <v>282</v>
      </c>
      <c r="AE174" s="26">
        <v>306.0</v>
      </c>
      <c r="AF174" s="26">
        <v>0.0</v>
      </c>
      <c r="AG174" s="4">
        <v>271.0</v>
      </c>
    </row>
    <row r="175" ht="15.75" customHeight="1">
      <c r="A175" s="5"/>
      <c r="B175" s="5"/>
      <c r="C175" s="5"/>
      <c r="D175" s="5"/>
      <c r="E175" s="5"/>
      <c r="F175" s="5"/>
      <c r="G175" s="5"/>
      <c r="H175" s="4" t="s">
        <v>284</v>
      </c>
      <c r="I175" s="4">
        <v>189.0</v>
      </c>
      <c r="J175" s="4">
        <v>189.0</v>
      </c>
      <c r="K175" s="4"/>
      <c r="L175" s="4">
        <v>42.0</v>
      </c>
      <c r="M175" s="5"/>
      <c r="N175" s="5"/>
      <c r="O175" s="4" t="s">
        <v>284</v>
      </c>
      <c r="P175" s="4">
        <v>195.0</v>
      </c>
      <c r="Q175" s="4">
        <v>192.0</v>
      </c>
      <c r="R175" s="4">
        <v>40.0</v>
      </c>
      <c r="S175" s="4" t="s">
        <v>284</v>
      </c>
      <c r="T175" s="4">
        <v>119.0</v>
      </c>
      <c r="U175" s="4">
        <v>99.0</v>
      </c>
      <c r="V175" s="4">
        <v>40.0</v>
      </c>
      <c r="W175" s="4" t="s">
        <v>284</v>
      </c>
      <c r="X175" s="26">
        <v>568.0</v>
      </c>
      <c r="Y175" s="26">
        <f>568-284</f>
        <v>284</v>
      </c>
      <c r="Z175" s="4">
        <v>283.0</v>
      </c>
      <c r="AD175" s="4" t="s">
        <v>284</v>
      </c>
      <c r="AE175" s="26">
        <v>510.0</v>
      </c>
      <c r="AF175" s="26">
        <v>51.0</v>
      </c>
      <c r="AG175" s="4">
        <v>271.0</v>
      </c>
    </row>
    <row r="176" ht="15.75" customHeight="1">
      <c r="A176" s="5"/>
      <c r="B176" s="5"/>
      <c r="C176" s="5"/>
      <c r="D176" s="5"/>
      <c r="E176" s="5"/>
      <c r="F176" s="5"/>
      <c r="G176" s="5"/>
      <c r="H176" s="4" t="s">
        <v>286</v>
      </c>
      <c r="I176" s="4">
        <v>189.0</v>
      </c>
      <c r="J176" s="4">
        <v>150.0</v>
      </c>
      <c r="K176" s="4"/>
      <c r="L176" s="4">
        <v>42.0</v>
      </c>
      <c r="M176" s="5"/>
      <c r="N176" s="5"/>
      <c r="O176" s="4" t="s">
        <v>286</v>
      </c>
      <c r="P176" s="4">
        <v>192.0</v>
      </c>
      <c r="Q176" s="4">
        <v>162.0</v>
      </c>
      <c r="R176" s="4">
        <v>40.0</v>
      </c>
      <c r="S176" s="4" t="s">
        <v>286</v>
      </c>
      <c r="T176" s="4">
        <v>99.0</v>
      </c>
      <c r="U176" s="4">
        <v>49.0</v>
      </c>
      <c r="V176" s="4">
        <v>40.0</v>
      </c>
      <c r="W176" s="4" t="s">
        <v>286</v>
      </c>
      <c r="X176" s="26">
        <v>426.0</v>
      </c>
      <c r="Y176" s="26">
        <v>0.0</v>
      </c>
      <c r="Z176" s="4">
        <v>283.0</v>
      </c>
      <c r="AD176" s="4" t="s">
        <v>286</v>
      </c>
      <c r="AE176" s="26">
        <v>1020.0</v>
      </c>
      <c r="AF176" s="26">
        <v>204.0</v>
      </c>
      <c r="AG176" s="4">
        <v>271.0</v>
      </c>
    </row>
    <row r="177" ht="15.75" customHeight="1">
      <c r="A177" s="5"/>
      <c r="B177" s="5"/>
      <c r="C177" s="5"/>
      <c r="D177" s="5"/>
      <c r="E177" s="5"/>
      <c r="F177" s="5"/>
      <c r="G177" s="5"/>
      <c r="H177" s="4" t="s">
        <v>288</v>
      </c>
      <c r="I177" s="4">
        <v>150.0</v>
      </c>
      <c r="J177" s="4">
        <v>31.0</v>
      </c>
      <c r="K177" s="4"/>
      <c r="L177" s="4">
        <v>42.0</v>
      </c>
      <c r="M177" s="5"/>
      <c r="N177" s="5"/>
      <c r="O177" s="4" t="s">
        <v>288</v>
      </c>
      <c r="P177" s="4">
        <v>162.0</v>
      </c>
      <c r="Q177" s="4">
        <v>137.0</v>
      </c>
      <c r="R177" s="4">
        <v>40.0</v>
      </c>
      <c r="S177" s="4" t="s">
        <v>288</v>
      </c>
      <c r="T177" s="4">
        <v>249.0</v>
      </c>
      <c r="U177" s="4">
        <v>224.0</v>
      </c>
      <c r="V177" s="4">
        <v>40.0</v>
      </c>
      <c r="W177" s="4" t="s">
        <v>288</v>
      </c>
      <c r="X177" s="26">
        <v>355.0</v>
      </c>
      <c r="Y177" s="26">
        <v>355.0</v>
      </c>
      <c r="Z177" s="4">
        <v>283.0</v>
      </c>
      <c r="AD177" s="4" t="s">
        <v>288</v>
      </c>
      <c r="AE177" s="26">
        <v>714.0</v>
      </c>
      <c r="AF177" s="26">
        <v>459.0</v>
      </c>
      <c r="AG177" s="4">
        <v>271.0</v>
      </c>
    </row>
    <row r="178" ht="15.75" customHeight="1">
      <c r="A178" s="5"/>
      <c r="B178" s="5"/>
      <c r="C178" s="5"/>
      <c r="D178" s="5"/>
      <c r="E178" s="5"/>
      <c r="F178" s="5"/>
      <c r="G178" s="5"/>
      <c r="H178" s="4" t="s">
        <v>290</v>
      </c>
      <c r="I178" s="4">
        <v>231.0</v>
      </c>
      <c r="J178" s="4">
        <v>226.0</v>
      </c>
      <c r="K178" s="4"/>
      <c r="L178" s="4">
        <v>42.0</v>
      </c>
      <c r="M178" s="5"/>
      <c r="N178" s="5"/>
      <c r="O178" s="4" t="s">
        <v>290</v>
      </c>
      <c r="P178" s="4">
        <v>137.0</v>
      </c>
      <c r="Q178" s="4">
        <v>106.0</v>
      </c>
      <c r="R178" s="4">
        <v>40.0</v>
      </c>
      <c r="S178" s="4" t="s">
        <v>290</v>
      </c>
      <c r="T178" s="4">
        <v>224.0</v>
      </c>
      <c r="U178" s="4">
        <v>224.0</v>
      </c>
      <c r="V178" s="4">
        <v>40.0</v>
      </c>
      <c r="W178" s="4" t="s">
        <v>290</v>
      </c>
      <c r="X178" s="26">
        <v>355.0</v>
      </c>
      <c r="Y178" s="26">
        <v>142.0</v>
      </c>
      <c r="Z178" s="4">
        <v>283.0</v>
      </c>
      <c r="AD178" s="4" t="s">
        <v>290</v>
      </c>
      <c r="AE178" s="26">
        <v>459.0</v>
      </c>
      <c r="AF178" s="26">
        <v>408.0</v>
      </c>
      <c r="AG178" s="4">
        <v>271.0</v>
      </c>
    </row>
    <row r="179" ht="15.75" customHeight="1">
      <c r="A179" s="5"/>
      <c r="B179" s="5"/>
      <c r="C179" s="5"/>
      <c r="D179" s="5"/>
      <c r="E179" s="5"/>
      <c r="F179" s="5"/>
      <c r="G179" s="5"/>
      <c r="H179" s="4" t="s">
        <v>292</v>
      </c>
      <c r="I179" s="4">
        <v>226.0</v>
      </c>
      <c r="J179" s="4">
        <v>183.0</v>
      </c>
      <c r="K179" s="4"/>
      <c r="L179" s="4">
        <v>42.0</v>
      </c>
      <c r="M179" s="5"/>
      <c r="N179" s="5"/>
      <c r="O179" s="4" t="s">
        <v>292</v>
      </c>
      <c r="P179" s="4">
        <v>106.0</v>
      </c>
      <c r="Q179" s="4">
        <v>106.0</v>
      </c>
      <c r="R179" s="4">
        <v>40.0</v>
      </c>
      <c r="S179" s="4" t="s">
        <v>292</v>
      </c>
      <c r="T179" s="4">
        <v>224.0</v>
      </c>
      <c r="U179" s="4">
        <v>222.0</v>
      </c>
      <c r="V179" s="4">
        <v>40.0</v>
      </c>
      <c r="W179" s="4" t="s">
        <v>292</v>
      </c>
      <c r="X179" s="26">
        <v>497.0</v>
      </c>
      <c r="Y179" s="26">
        <v>497.0</v>
      </c>
      <c r="Z179" s="4">
        <v>283.0</v>
      </c>
      <c r="AD179" s="4" t="s">
        <v>292</v>
      </c>
      <c r="AE179" s="26">
        <v>408.0</v>
      </c>
      <c r="AF179" s="26">
        <v>255.0</v>
      </c>
      <c r="AG179" s="4">
        <v>271.0</v>
      </c>
    </row>
    <row r="180" ht="15.75" customHeight="1">
      <c r="A180" s="5"/>
      <c r="B180" s="5"/>
      <c r="C180" s="5"/>
      <c r="D180" s="5"/>
      <c r="E180" s="5"/>
      <c r="F180" s="5"/>
      <c r="G180" s="5"/>
      <c r="H180" s="4" t="s">
        <v>294</v>
      </c>
      <c r="I180" s="4">
        <v>183.0</v>
      </c>
      <c r="J180" s="4">
        <v>159.0</v>
      </c>
      <c r="K180" s="4"/>
      <c r="L180" s="4">
        <v>42.0</v>
      </c>
      <c r="M180" s="5"/>
      <c r="N180" s="5"/>
      <c r="O180" s="4" t="s">
        <v>294</v>
      </c>
      <c r="P180" s="4">
        <v>106.0</v>
      </c>
      <c r="Q180" s="4">
        <v>82.0</v>
      </c>
      <c r="R180" s="4">
        <v>40.0</v>
      </c>
      <c r="S180" s="4" t="s">
        <v>294</v>
      </c>
      <c r="T180" s="4">
        <v>222.0</v>
      </c>
      <c r="U180" s="4">
        <v>222.0</v>
      </c>
      <c r="V180" s="4">
        <v>40.0</v>
      </c>
      <c r="W180" s="4" t="s">
        <v>294</v>
      </c>
      <c r="X180" s="26">
        <v>497.0</v>
      </c>
      <c r="Y180" s="26">
        <v>284.0</v>
      </c>
      <c r="Z180" s="4">
        <v>283.0</v>
      </c>
      <c r="AD180" s="4" t="s">
        <v>294</v>
      </c>
      <c r="AE180" s="26">
        <v>510.0</v>
      </c>
      <c r="AF180" s="26">
        <v>510.0</v>
      </c>
      <c r="AG180" s="4">
        <v>271.0</v>
      </c>
    </row>
    <row r="181" ht="15.75" customHeight="1">
      <c r="A181" s="5"/>
      <c r="B181" s="5"/>
      <c r="C181" s="5"/>
      <c r="D181" s="5"/>
      <c r="E181" s="5"/>
      <c r="F181" s="5"/>
      <c r="G181" s="5"/>
      <c r="H181" s="4" t="s">
        <v>296</v>
      </c>
      <c r="I181" s="4">
        <v>159.0</v>
      </c>
      <c r="J181" s="4">
        <v>141.0</v>
      </c>
      <c r="K181" s="4"/>
      <c r="L181" s="4">
        <v>42.0</v>
      </c>
      <c r="M181" s="5"/>
      <c r="N181" s="5"/>
      <c r="O181" s="4" t="s">
        <v>296</v>
      </c>
      <c r="P181" s="4">
        <v>82.0</v>
      </c>
      <c r="Q181" s="4">
        <v>22.0</v>
      </c>
      <c r="R181" s="4">
        <v>40.0</v>
      </c>
      <c r="S181" s="4" t="s">
        <v>296</v>
      </c>
      <c r="T181" s="4">
        <v>222.0</v>
      </c>
      <c r="U181" s="4">
        <v>189.0</v>
      </c>
      <c r="V181" s="4">
        <v>40.0</v>
      </c>
      <c r="W181" s="4" t="s">
        <v>296</v>
      </c>
      <c r="X181" s="26">
        <v>284.0</v>
      </c>
      <c r="Y181" s="26">
        <v>142.0</v>
      </c>
      <c r="Z181" s="4">
        <v>283.0</v>
      </c>
      <c r="AD181" s="4" t="s">
        <v>296</v>
      </c>
      <c r="AE181" s="26">
        <v>510.0</v>
      </c>
      <c r="AF181" s="26">
        <v>204.0</v>
      </c>
      <c r="AG181" s="4">
        <v>271.0</v>
      </c>
    </row>
    <row r="182" ht="15.75" customHeight="1">
      <c r="A182" s="5"/>
      <c r="B182" s="5"/>
      <c r="C182" s="5"/>
      <c r="D182" s="5"/>
      <c r="E182" s="5"/>
      <c r="F182" s="5"/>
      <c r="G182" s="5"/>
      <c r="H182" s="4" t="s">
        <v>298</v>
      </c>
      <c r="I182" s="4">
        <v>141.0</v>
      </c>
      <c r="J182" s="4">
        <v>81.0</v>
      </c>
      <c r="K182" s="4"/>
      <c r="L182" s="4">
        <v>42.0</v>
      </c>
      <c r="M182" s="5"/>
      <c r="N182" s="5"/>
      <c r="O182" s="4" t="s">
        <v>298</v>
      </c>
      <c r="P182" s="4">
        <v>222.0</v>
      </c>
      <c r="Q182" s="4">
        <v>112.0</v>
      </c>
      <c r="R182" s="4">
        <v>40.0</v>
      </c>
      <c r="S182" s="4" t="s">
        <v>298</v>
      </c>
      <c r="T182" s="4">
        <v>189.0</v>
      </c>
      <c r="U182" s="4">
        <v>189.0</v>
      </c>
      <c r="V182" s="4">
        <v>40.0</v>
      </c>
      <c r="W182" s="4" t="s">
        <v>298</v>
      </c>
      <c r="X182" s="26">
        <v>639.0</v>
      </c>
      <c r="Y182" s="26">
        <v>284.0</v>
      </c>
      <c r="Z182" s="4">
        <v>283.0</v>
      </c>
      <c r="AD182" s="4" t="s">
        <v>298</v>
      </c>
      <c r="AE182" s="26">
        <v>714.0</v>
      </c>
      <c r="AF182" s="26">
        <v>459.0</v>
      </c>
      <c r="AG182" s="4">
        <v>271.0</v>
      </c>
    </row>
    <row r="183" ht="15.75" customHeight="1">
      <c r="A183" s="5"/>
      <c r="B183" s="5"/>
      <c r="C183" s="5"/>
      <c r="D183" s="5"/>
      <c r="E183" s="5"/>
      <c r="F183" s="5"/>
      <c r="G183" s="5"/>
      <c r="H183" s="4" t="s">
        <v>300</v>
      </c>
      <c r="I183" s="4">
        <v>281.0</v>
      </c>
      <c r="J183" s="4">
        <v>265.0</v>
      </c>
      <c r="K183" s="4"/>
      <c r="L183" s="4">
        <v>42.0</v>
      </c>
      <c r="M183" s="5"/>
      <c r="N183" s="5"/>
      <c r="O183" s="4" t="s">
        <v>300</v>
      </c>
      <c r="P183" s="4">
        <v>112.0</v>
      </c>
      <c r="Q183" s="4">
        <v>68.0</v>
      </c>
      <c r="R183" s="4">
        <v>40.0</v>
      </c>
      <c r="S183" s="4" t="s">
        <v>300</v>
      </c>
      <c r="T183" s="4">
        <v>189.0</v>
      </c>
      <c r="U183" s="4">
        <v>189.0</v>
      </c>
      <c r="V183" s="4">
        <v>40.0</v>
      </c>
      <c r="W183" s="4" t="s">
        <v>300</v>
      </c>
      <c r="X183" s="26">
        <v>639.0</v>
      </c>
      <c r="Y183" s="26">
        <v>0.0</v>
      </c>
      <c r="Z183" s="4">
        <v>283.0</v>
      </c>
      <c r="AD183" s="4" t="s">
        <v>300</v>
      </c>
      <c r="AE183" s="26">
        <v>459.0</v>
      </c>
      <c r="AF183" s="26">
        <v>408.0</v>
      </c>
      <c r="AG183" s="4">
        <v>271.0</v>
      </c>
    </row>
    <row r="184" ht="15.75" customHeight="1">
      <c r="A184" s="5"/>
      <c r="B184" s="5"/>
      <c r="C184" s="5"/>
      <c r="D184" s="5"/>
      <c r="E184" s="5"/>
      <c r="F184" s="5"/>
      <c r="G184" s="5"/>
      <c r="H184" s="4" t="s">
        <v>302</v>
      </c>
      <c r="I184" s="4">
        <v>265.0</v>
      </c>
      <c r="J184" s="4">
        <v>225.0</v>
      </c>
      <c r="K184" s="4"/>
      <c r="L184" s="4">
        <v>42.0</v>
      </c>
      <c r="M184" s="5"/>
      <c r="N184" s="5"/>
      <c r="O184" s="4" t="s">
        <v>302</v>
      </c>
      <c r="P184" s="4">
        <v>268.0</v>
      </c>
      <c r="Q184" s="4">
        <v>256.0</v>
      </c>
      <c r="R184" s="4">
        <v>40.0</v>
      </c>
      <c r="S184" s="4" t="s">
        <v>302</v>
      </c>
      <c r="T184" s="4">
        <v>189.0</v>
      </c>
      <c r="U184" s="4">
        <v>186.0</v>
      </c>
      <c r="V184" s="4">
        <v>40.0</v>
      </c>
      <c r="W184" s="4" t="s">
        <v>302</v>
      </c>
      <c r="X184" s="26">
        <v>639.0</v>
      </c>
      <c r="Y184" s="26">
        <v>497.0</v>
      </c>
      <c r="Z184" s="4">
        <v>283.0</v>
      </c>
      <c r="AD184" s="4" t="s">
        <v>302</v>
      </c>
      <c r="AE184" s="26">
        <v>408.0</v>
      </c>
      <c r="AF184" s="26">
        <v>51.0</v>
      </c>
      <c r="AG184" s="4">
        <v>271.0</v>
      </c>
    </row>
    <row r="185" ht="15.75" customHeight="1">
      <c r="A185" s="5"/>
      <c r="B185" s="5"/>
      <c r="C185" s="5"/>
      <c r="D185" s="5"/>
      <c r="E185" s="5"/>
      <c r="F185" s="5"/>
      <c r="G185" s="5"/>
      <c r="H185" s="4" t="s">
        <v>304</v>
      </c>
      <c r="I185" s="4">
        <v>225.0</v>
      </c>
      <c r="J185" s="4">
        <v>222.0</v>
      </c>
      <c r="K185" s="4"/>
      <c r="L185" s="4">
        <v>42.0</v>
      </c>
      <c r="M185" s="5"/>
      <c r="N185" s="5"/>
      <c r="O185" s="4" t="s">
        <v>304</v>
      </c>
      <c r="P185" s="4">
        <v>256.0</v>
      </c>
      <c r="Q185" s="4">
        <v>164.0</v>
      </c>
      <c r="R185" s="4">
        <v>40.0</v>
      </c>
      <c r="S185" s="4" t="s">
        <v>304</v>
      </c>
      <c r="T185" s="4">
        <v>186.0</v>
      </c>
      <c r="U185" s="4">
        <v>186.0</v>
      </c>
      <c r="V185" s="4">
        <v>40.0</v>
      </c>
      <c r="W185" s="4" t="s">
        <v>304</v>
      </c>
      <c r="X185" s="26">
        <v>497.0</v>
      </c>
      <c r="Y185" s="26">
        <v>71.0</v>
      </c>
      <c r="Z185" s="4">
        <v>283.0</v>
      </c>
      <c r="AD185" s="4" t="s">
        <v>304</v>
      </c>
      <c r="AE185" s="26">
        <v>561.0</v>
      </c>
      <c r="AF185" s="26">
        <v>306.0</v>
      </c>
      <c r="AG185" s="4">
        <v>271.0</v>
      </c>
    </row>
    <row r="186" ht="15.75" customHeight="1">
      <c r="A186" s="5"/>
      <c r="B186" s="5"/>
      <c r="C186" s="5"/>
      <c r="D186" s="5"/>
      <c r="E186" s="5"/>
      <c r="F186" s="5"/>
      <c r="G186" s="5"/>
      <c r="H186" s="4" t="s">
        <v>306</v>
      </c>
      <c r="I186" s="4">
        <v>222.0</v>
      </c>
      <c r="J186" s="4">
        <v>222.0</v>
      </c>
      <c r="K186" s="4"/>
      <c r="L186" s="4">
        <v>42.0</v>
      </c>
      <c r="M186" s="5"/>
      <c r="N186" s="5"/>
      <c r="O186" s="4" t="s">
        <v>306</v>
      </c>
      <c r="P186" s="4">
        <v>164.0</v>
      </c>
      <c r="Q186" s="4">
        <v>57.0</v>
      </c>
      <c r="R186" s="4">
        <v>40.0</v>
      </c>
      <c r="S186" s="4" t="s">
        <v>306</v>
      </c>
      <c r="T186" s="4">
        <v>186.0</v>
      </c>
      <c r="U186" s="4">
        <v>182.0</v>
      </c>
      <c r="V186" s="4">
        <v>40.0</v>
      </c>
      <c r="W186" s="4" t="s">
        <v>306</v>
      </c>
      <c r="X186" s="26">
        <v>568.0</v>
      </c>
      <c r="Y186" s="26">
        <v>355.0</v>
      </c>
      <c r="Z186" s="4">
        <v>283.0</v>
      </c>
      <c r="AD186" s="4" t="s">
        <v>306</v>
      </c>
      <c r="AE186" s="26">
        <v>612.0</v>
      </c>
      <c r="AF186" s="26">
        <v>153.0</v>
      </c>
      <c r="AG186" s="4">
        <v>271.0</v>
      </c>
    </row>
    <row r="187" ht="15.75" customHeight="1">
      <c r="A187" s="5"/>
      <c r="B187" s="5"/>
      <c r="C187" s="5"/>
      <c r="D187" s="5"/>
      <c r="E187" s="5"/>
      <c r="F187" s="5"/>
      <c r="G187" s="5"/>
      <c r="H187" s="4" t="s">
        <v>308</v>
      </c>
      <c r="I187" s="4">
        <v>222.0</v>
      </c>
      <c r="J187" s="4">
        <v>126.0</v>
      </c>
      <c r="K187" s="4"/>
      <c r="L187" s="4">
        <v>42.0</v>
      </c>
      <c r="M187" s="5"/>
      <c r="N187" s="5"/>
      <c r="O187" s="4" t="s">
        <v>308</v>
      </c>
      <c r="P187" s="4">
        <v>157.0</v>
      </c>
      <c r="Q187" s="4">
        <v>123.0</v>
      </c>
      <c r="R187" s="4">
        <v>40.0</v>
      </c>
      <c r="S187" s="4" t="s">
        <v>308</v>
      </c>
      <c r="T187" s="4">
        <v>182.0</v>
      </c>
      <c r="U187" s="4">
        <v>180.0</v>
      </c>
      <c r="V187" s="4">
        <v>40.0</v>
      </c>
      <c r="W187" s="4" t="s">
        <v>308</v>
      </c>
      <c r="X187" s="26">
        <v>852.0</v>
      </c>
      <c r="Y187" s="26">
        <v>852.0</v>
      </c>
      <c r="Z187" s="4">
        <v>283.0</v>
      </c>
      <c r="AD187" s="4" t="s">
        <v>308</v>
      </c>
      <c r="AE187" s="26">
        <v>459.0</v>
      </c>
      <c r="AF187" s="26">
        <v>255.0</v>
      </c>
      <c r="AG187" s="4">
        <v>271.0</v>
      </c>
    </row>
    <row r="188" ht="15.75" customHeight="1">
      <c r="A188" s="5"/>
      <c r="B188" s="5"/>
      <c r="C188" s="5"/>
      <c r="D188" s="5"/>
      <c r="E188" s="5"/>
      <c r="F188" s="5"/>
      <c r="G188" s="5"/>
      <c r="H188" s="4" t="s">
        <v>310</v>
      </c>
      <c r="I188" s="4">
        <v>126.0</v>
      </c>
      <c r="J188" s="4">
        <v>103.0</v>
      </c>
      <c r="K188" s="4"/>
      <c r="L188" s="4">
        <v>42.0</v>
      </c>
      <c r="M188" s="5"/>
      <c r="N188" s="5"/>
      <c r="O188" s="4" t="s">
        <v>310</v>
      </c>
      <c r="P188" s="4">
        <v>157.0</v>
      </c>
      <c r="Q188" s="4">
        <v>49.0</v>
      </c>
      <c r="R188" s="4">
        <v>40.0</v>
      </c>
      <c r="S188" s="4" t="s">
        <v>310</v>
      </c>
      <c r="T188" s="4">
        <v>180.0</v>
      </c>
      <c r="U188" s="4">
        <v>151.0</v>
      </c>
      <c r="V188" s="4">
        <v>40.0</v>
      </c>
      <c r="W188" s="4" t="s">
        <v>310</v>
      </c>
      <c r="X188" s="26">
        <v>852.0</v>
      </c>
      <c r="Y188" s="26">
        <v>568.0</v>
      </c>
      <c r="Z188" s="4">
        <v>283.0</v>
      </c>
      <c r="AD188" s="4" t="s">
        <v>310</v>
      </c>
      <c r="AE188" s="26">
        <v>765.0</v>
      </c>
      <c r="AF188" s="26">
        <v>0.0</v>
      </c>
      <c r="AG188" s="4">
        <v>271.0</v>
      </c>
    </row>
    <row r="189" ht="15.75" customHeight="1">
      <c r="A189" s="5"/>
      <c r="B189" s="5"/>
      <c r="C189" s="5"/>
      <c r="D189" s="5"/>
      <c r="E189" s="5"/>
      <c r="F189" s="5"/>
      <c r="G189" s="5"/>
      <c r="H189" s="4" t="s">
        <v>312</v>
      </c>
      <c r="I189" s="4">
        <v>126.0</v>
      </c>
      <c r="J189" s="4">
        <v>32.0</v>
      </c>
      <c r="K189" s="4"/>
      <c r="L189" s="4">
        <v>42.0</v>
      </c>
      <c r="M189" s="5"/>
      <c r="N189" s="5"/>
      <c r="O189" s="4" t="s">
        <v>312</v>
      </c>
      <c r="P189" s="4">
        <v>149.0</v>
      </c>
      <c r="Q189" s="4">
        <v>89.0</v>
      </c>
      <c r="R189" s="4">
        <v>40.0</v>
      </c>
      <c r="S189" s="4" t="s">
        <v>312</v>
      </c>
      <c r="T189" s="4">
        <v>151.0</v>
      </c>
      <c r="U189" s="4">
        <v>151.0</v>
      </c>
      <c r="V189" s="4">
        <v>40.0</v>
      </c>
      <c r="W189" s="4" t="s">
        <v>312</v>
      </c>
      <c r="X189" s="26">
        <v>568.0</v>
      </c>
      <c r="Y189" s="26">
        <v>213.0</v>
      </c>
      <c r="Z189" s="4">
        <v>283.0</v>
      </c>
      <c r="AD189" s="4" t="s">
        <v>312</v>
      </c>
      <c r="AE189" s="26">
        <v>714.0</v>
      </c>
      <c r="AF189" s="26">
        <v>306.0</v>
      </c>
      <c r="AG189" s="4">
        <v>271.0</v>
      </c>
    </row>
    <row r="190" ht="15.75" customHeight="1">
      <c r="A190" s="5"/>
      <c r="B190" s="5"/>
      <c r="C190" s="5"/>
      <c r="D190" s="5"/>
      <c r="E190" s="5"/>
      <c r="F190" s="5"/>
      <c r="G190" s="5"/>
      <c r="H190" s="4" t="s">
        <v>314</v>
      </c>
      <c r="I190" s="4">
        <v>232.0</v>
      </c>
      <c r="J190" s="4">
        <v>67.0</v>
      </c>
      <c r="K190" s="4"/>
      <c r="L190" s="4">
        <v>42.0</v>
      </c>
      <c r="M190" s="5"/>
      <c r="N190" s="5"/>
      <c r="O190" s="4" t="s">
        <v>314</v>
      </c>
      <c r="P190" s="4">
        <v>189.0</v>
      </c>
      <c r="Q190" s="4">
        <v>174.0</v>
      </c>
      <c r="R190" s="4">
        <v>40.0</v>
      </c>
      <c r="S190" s="4" t="s">
        <v>314</v>
      </c>
      <c r="T190" s="4">
        <v>151.0</v>
      </c>
      <c r="U190" s="4">
        <v>151.0</v>
      </c>
      <c r="V190" s="4">
        <v>40.0</v>
      </c>
      <c r="W190" s="4" t="s">
        <v>314</v>
      </c>
      <c r="X190" s="26">
        <v>568.0</v>
      </c>
      <c r="Y190" s="26">
        <v>284.0</v>
      </c>
      <c r="Z190" s="4">
        <v>283.0</v>
      </c>
      <c r="AD190" s="4" t="s">
        <v>314</v>
      </c>
      <c r="AE190" s="26">
        <v>714.0</v>
      </c>
      <c r="AF190" s="26">
        <v>359.0</v>
      </c>
      <c r="AG190" s="4">
        <v>271.0</v>
      </c>
    </row>
    <row r="191" ht="15.75" customHeight="1">
      <c r="A191" s="5"/>
      <c r="B191" s="5"/>
      <c r="C191" s="5"/>
      <c r="D191" s="5"/>
      <c r="E191" s="5"/>
      <c r="F191" s="5"/>
      <c r="G191" s="5"/>
      <c r="H191" s="4" t="s">
        <v>316</v>
      </c>
      <c r="I191" s="4">
        <v>167.0</v>
      </c>
      <c r="J191" s="4">
        <v>137.0</v>
      </c>
      <c r="K191" s="4"/>
      <c r="L191" s="4">
        <v>42.0</v>
      </c>
      <c r="M191" s="5"/>
      <c r="N191" s="5"/>
      <c r="O191" s="4" t="s">
        <v>316</v>
      </c>
      <c r="P191" s="4">
        <v>174.0</v>
      </c>
      <c r="Q191" s="4">
        <v>74.0</v>
      </c>
      <c r="R191" s="4">
        <v>40.0</v>
      </c>
      <c r="S191" s="4" t="s">
        <v>316</v>
      </c>
      <c r="T191" s="4">
        <v>151.0</v>
      </c>
      <c r="U191" s="4">
        <v>121.0</v>
      </c>
      <c r="V191" s="4">
        <v>40.0</v>
      </c>
      <c r="W191" s="4" t="s">
        <v>316</v>
      </c>
      <c r="X191" s="26">
        <v>568.0</v>
      </c>
      <c r="Y191" s="26">
        <v>497.0</v>
      </c>
      <c r="Z191" s="4">
        <v>283.0</v>
      </c>
      <c r="AD191" s="4" t="s">
        <v>316</v>
      </c>
      <c r="AE191" s="26">
        <v>665.0</v>
      </c>
      <c r="AF191" s="26">
        <v>563.0</v>
      </c>
      <c r="AG191" s="4">
        <v>271.0</v>
      </c>
    </row>
    <row r="192" ht="15.75" customHeight="1">
      <c r="A192" s="5"/>
      <c r="B192" s="5"/>
      <c r="C192" s="5"/>
      <c r="D192" s="5"/>
      <c r="E192" s="5"/>
      <c r="F192" s="5"/>
      <c r="G192" s="5"/>
      <c r="H192" s="4" t="s">
        <v>318</v>
      </c>
      <c r="I192" s="4">
        <v>137.0</v>
      </c>
      <c r="J192" s="4">
        <v>67.0</v>
      </c>
      <c r="K192" s="4"/>
      <c r="L192" s="4">
        <v>42.0</v>
      </c>
      <c r="M192" s="5"/>
      <c r="N192" s="5"/>
      <c r="O192" s="4" t="s">
        <v>318</v>
      </c>
      <c r="P192" s="4">
        <v>174.0</v>
      </c>
      <c r="Q192" s="4">
        <v>112.0</v>
      </c>
      <c r="R192" s="4">
        <v>40.0</v>
      </c>
      <c r="S192" s="4" t="s">
        <v>318</v>
      </c>
      <c r="T192" s="4">
        <v>121.0</v>
      </c>
      <c r="U192" s="4">
        <v>56.0</v>
      </c>
      <c r="V192" s="4">
        <v>40.0</v>
      </c>
      <c r="W192" s="4" t="s">
        <v>318</v>
      </c>
      <c r="X192" s="26">
        <v>497.0</v>
      </c>
      <c r="Y192" s="26">
        <v>355.0</v>
      </c>
      <c r="Z192" s="4">
        <v>283.0</v>
      </c>
      <c r="AD192" s="4" t="s">
        <v>318</v>
      </c>
      <c r="AE192" s="26">
        <v>563.0</v>
      </c>
      <c r="AF192" s="26">
        <v>308.0</v>
      </c>
      <c r="AG192" s="4">
        <v>271.0</v>
      </c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.75" customHeight="1">
      <c r="A197" s="58" t="s">
        <v>264</v>
      </c>
      <c r="B197" s="59" t="s">
        <v>265</v>
      </c>
      <c r="C197" s="59" t="s">
        <v>266</v>
      </c>
      <c r="D197" s="5" t="s">
        <v>366</v>
      </c>
      <c r="E197" s="58" t="s">
        <v>264</v>
      </c>
      <c r="F197" s="59" t="s">
        <v>265</v>
      </c>
      <c r="G197" s="59" t="s">
        <v>266</v>
      </c>
      <c r="H197" s="5" t="s">
        <v>366</v>
      </c>
      <c r="I197" s="5"/>
      <c r="J197" s="58" t="s">
        <v>264</v>
      </c>
      <c r="K197" s="59" t="s">
        <v>265</v>
      </c>
      <c r="L197" s="59" t="s">
        <v>266</v>
      </c>
      <c r="M197" s="5" t="s">
        <v>366</v>
      </c>
      <c r="N197" s="5"/>
      <c r="O197" s="5"/>
      <c r="P197" s="5"/>
      <c r="Q197" s="58" t="s">
        <v>264</v>
      </c>
      <c r="R197" s="59" t="s">
        <v>265</v>
      </c>
      <c r="S197" s="59" t="s">
        <v>266</v>
      </c>
      <c r="T197" s="4" t="s">
        <v>366</v>
      </c>
    </row>
    <row r="198" ht="15.75" customHeight="1">
      <c r="A198" s="4" t="s">
        <v>268</v>
      </c>
      <c r="B198" s="4">
        <v>70.0</v>
      </c>
      <c r="C198" s="4">
        <v>58.0</v>
      </c>
      <c r="D198" s="5">
        <v>24.0</v>
      </c>
      <c r="E198" s="4" t="s">
        <v>268</v>
      </c>
      <c r="F198" s="4">
        <v>20.0</v>
      </c>
      <c r="G198" s="4">
        <v>3.0</v>
      </c>
      <c r="H198" s="5">
        <v>22.0</v>
      </c>
      <c r="I198" s="5"/>
      <c r="J198" s="4" t="s">
        <v>268</v>
      </c>
      <c r="K198" s="4">
        <v>40.0</v>
      </c>
      <c r="L198" s="4">
        <v>25.0</v>
      </c>
      <c r="M198" s="5">
        <v>13.0</v>
      </c>
      <c r="N198" s="5"/>
      <c r="O198" s="5"/>
      <c r="P198" s="5"/>
      <c r="Q198" s="4" t="s">
        <v>268</v>
      </c>
      <c r="R198" s="102">
        <v>600.0</v>
      </c>
      <c r="S198" s="102">
        <v>50.0</v>
      </c>
      <c r="T198" s="4">
        <v>241.0</v>
      </c>
      <c r="W198" s="58" t="s">
        <v>264</v>
      </c>
      <c r="X198" s="59" t="s">
        <v>265</v>
      </c>
      <c r="Y198" s="59" t="s">
        <v>266</v>
      </c>
      <c r="Z198" s="4" t="s">
        <v>366</v>
      </c>
      <c r="AA198" s="58" t="s">
        <v>264</v>
      </c>
      <c r="AB198" s="101" t="s">
        <v>265</v>
      </c>
      <c r="AC198" s="101" t="s">
        <v>266</v>
      </c>
      <c r="AD198" s="4" t="s">
        <v>366</v>
      </c>
    </row>
    <row r="199" ht="15.75" customHeight="1">
      <c r="A199" s="4" t="s">
        <v>270</v>
      </c>
      <c r="B199" s="4">
        <v>58.0</v>
      </c>
      <c r="C199" s="4">
        <v>34.0</v>
      </c>
      <c r="D199" s="5">
        <v>24.0</v>
      </c>
      <c r="E199" s="4" t="s">
        <v>270</v>
      </c>
      <c r="F199" s="4">
        <v>53.0</v>
      </c>
      <c r="G199" s="4">
        <v>36.0</v>
      </c>
      <c r="H199" s="5">
        <v>22.0</v>
      </c>
      <c r="I199" s="5"/>
      <c r="J199" s="4" t="s">
        <v>270</v>
      </c>
      <c r="K199" s="4">
        <v>25.0</v>
      </c>
      <c r="L199" s="4">
        <v>25.0</v>
      </c>
      <c r="M199" s="5">
        <v>13.0</v>
      </c>
      <c r="N199" s="5"/>
      <c r="O199" s="5"/>
      <c r="P199" s="5"/>
      <c r="Q199" s="4" t="s">
        <v>270</v>
      </c>
      <c r="R199" s="102">
        <v>550.0</v>
      </c>
      <c r="S199" s="102">
        <v>260.0</v>
      </c>
      <c r="T199" s="4">
        <v>241.0</v>
      </c>
      <c r="W199" s="4" t="s">
        <v>268</v>
      </c>
      <c r="X199" s="4">
        <v>400.0</v>
      </c>
      <c r="Y199" s="4">
        <v>275.0</v>
      </c>
      <c r="Z199" s="4">
        <v>294.0</v>
      </c>
      <c r="AA199" s="4" t="s">
        <v>268</v>
      </c>
      <c r="AB199" s="26">
        <v>600.0</v>
      </c>
      <c r="AC199" s="26">
        <v>220.0</v>
      </c>
      <c r="AD199" s="4">
        <v>398.0</v>
      </c>
    </row>
    <row r="200" ht="15.75" customHeight="1">
      <c r="A200" s="4" t="s">
        <v>272</v>
      </c>
      <c r="B200" s="4">
        <v>34.0</v>
      </c>
      <c r="C200" s="4">
        <v>34.0</v>
      </c>
      <c r="D200" s="5">
        <v>24.0</v>
      </c>
      <c r="E200" s="4" t="s">
        <v>272</v>
      </c>
      <c r="F200" s="4">
        <v>36.0</v>
      </c>
      <c r="G200" s="4">
        <v>27.0</v>
      </c>
      <c r="H200" s="5">
        <v>22.0</v>
      </c>
      <c r="I200" s="5"/>
      <c r="J200" s="4" t="s">
        <v>272</v>
      </c>
      <c r="K200" s="4">
        <v>25.0</v>
      </c>
      <c r="L200" s="4">
        <v>15.0</v>
      </c>
      <c r="M200" s="5">
        <v>13.0</v>
      </c>
      <c r="N200" s="5"/>
      <c r="O200" s="5"/>
      <c r="P200" s="5"/>
      <c r="Q200" s="4" t="s">
        <v>272</v>
      </c>
      <c r="R200" s="102">
        <v>260.0</v>
      </c>
      <c r="S200" s="102">
        <v>185.0</v>
      </c>
      <c r="T200" s="4">
        <v>241.0</v>
      </c>
      <c r="W200" s="4" t="s">
        <v>270</v>
      </c>
      <c r="X200" s="4">
        <v>275.0</v>
      </c>
      <c r="Y200" s="4">
        <v>250.0</v>
      </c>
      <c r="Z200" s="4">
        <v>294.0</v>
      </c>
      <c r="AA200" s="4" t="s">
        <v>270</v>
      </c>
      <c r="AB200" s="26">
        <v>770.0</v>
      </c>
      <c r="AC200" s="26">
        <v>315.0</v>
      </c>
      <c r="AD200" s="4">
        <v>398.0</v>
      </c>
    </row>
    <row r="201" ht="15.75" customHeight="1">
      <c r="A201" s="4" t="s">
        <v>274</v>
      </c>
      <c r="B201" s="4">
        <v>34.0</v>
      </c>
      <c r="C201" s="4">
        <v>34.0</v>
      </c>
      <c r="D201" s="5">
        <v>24.0</v>
      </c>
      <c r="E201" s="4" t="s">
        <v>274</v>
      </c>
      <c r="F201" s="4">
        <v>27.0</v>
      </c>
      <c r="G201" s="4">
        <v>23.0</v>
      </c>
      <c r="H201" s="5">
        <v>22.0</v>
      </c>
      <c r="I201" s="5"/>
      <c r="J201" s="4" t="s">
        <v>274</v>
      </c>
      <c r="K201" s="4">
        <v>15.0</v>
      </c>
      <c r="L201" s="4">
        <v>10.0</v>
      </c>
      <c r="M201" s="5">
        <v>13.0</v>
      </c>
      <c r="N201" s="5"/>
      <c r="O201" s="5"/>
      <c r="P201" s="5"/>
      <c r="Q201" s="4" t="s">
        <v>274</v>
      </c>
      <c r="R201" s="102">
        <v>485.0</v>
      </c>
      <c r="S201" s="102">
        <v>90.0</v>
      </c>
      <c r="T201" s="4">
        <v>241.0</v>
      </c>
      <c r="W201" s="4" t="s">
        <v>272</v>
      </c>
      <c r="X201" s="4">
        <v>250.0</v>
      </c>
      <c r="Y201" s="4">
        <v>180.0</v>
      </c>
      <c r="Z201" s="4">
        <v>294.0</v>
      </c>
      <c r="AA201" s="4" t="s">
        <v>272</v>
      </c>
      <c r="AB201" s="26">
        <v>315.0</v>
      </c>
      <c r="AC201" s="26">
        <v>30.0</v>
      </c>
      <c r="AD201" s="4">
        <v>398.0</v>
      </c>
    </row>
    <row r="202" ht="15.75" customHeight="1">
      <c r="A202" s="4" t="s">
        <v>276</v>
      </c>
      <c r="B202" s="4">
        <v>34.0</v>
      </c>
      <c r="C202" s="4">
        <f>34-16</f>
        <v>18</v>
      </c>
      <c r="D202" s="5">
        <v>24.0</v>
      </c>
      <c r="E202" s="4" t="s">
        <v>276</v>
      </c>
      <c r="F202" s="4">
        <v>27.0</v>
      </c>
      <c r="G202" s="4">
        <v>4.0</v>
      </c>
      <c r="H202" s="5">
        <v>22.0</v>
      </c>
      <c r="I202" s="5"/>
      <c r="J202" s="4" t="s">
        <v>276</v>
      </c>
      <c r="K202" s="4">
        <v>10.0</v>
      </c>
      <c r="L202" s="4">
        <v>10.0</v>
      </c>
      <c r="M202" s="5">
        <v>13.0</v>
      </c>
      <c r="N202" s="5"/>
      <c r="O202" s="5"/>
      <c r="P202" s="5"/>
      <c r="Q202" s="4" t="s">
        <v>276</v>
      </c>
      <c r="R202" s="102">
        <v>390.0</v>
      </c>
      <c r="S202" s="102">
        <v>390.0</v>
      </c>
      <c r="T202" s="4">
        <v>241.0</v>
      </c>
      <c r="W202" s="4" t="s">
        <v>274</v>
      </c>
      <c r="X202" s="4">
        <v>380.0</v>
      </c>
      <c r="Y202" s="4">
        <v>130.0</v>
      </c>
      <c r="Z202" s="4">
        <v>294.0</v>
      </c>
      <c r="AA202" s="4" t="s">
        <v>274</v>
      </c>
      <c r="AB202" s="26">
        <v>530.0</v>
      </c>
      <c r="AC202" s="26">
        <v>515.0</v>
      </c>
      <c r="AD202" s="4">
        <v>398.0</v>
      </c>
    </row>
    <row r="203" ht="15.75" customHeight="1">
      <c r="A203" s="4" t="s">
        <v>278</v>
      </c>
      <c r="B203" s="4">
        <v>58.0</v>
      </c>
      <c r="C203" s="4">
        <v>28.0</v>
      </c>
      <c r="D203" s="5">
        <v>24.0</v>
      </c>
      <c r="E203" s="4" t="s">
        <v>278</v>
      </c>
      <c r="F203" s="4">
        <v>44.0</v>
      </c>
      <c r="G203" s="4">
        <v>29.0</v>
      </c>
      <c r="H203" s="5">
        <v>22.0</v>
      </c>
      <c r="I203" s="5"/>
      <c r="J203" s="4" t="s">
        <v>278</v>
      </c>
      <c r="K203" s="4">
        <v>30.0</v>
      </c>
      <c r="L203" s="4">
        <v>5.0</v>
      </c>
      <c r="M203" s="5">
        <v>13.0</v>
      </c>
      <c r="N203" s="5"/>
      <c r="O203" s="5"/>
      <c r="P203" s="5"/>
      <c r="Q203" s="4" t="s">
        <v>278</v>
      </c>
      <c r="R203" s="102">
        <v>390.0</v>
      </c>
      <c r="S203" s="102">
        <v>295.0</v>
      </c>
      <c r="T203" s="4">
        <v>241.0</v>
      </c>
      <c r="W203" s="4" t="s">
        <v>276</v>
      </c>
      <c r="X203" s="4">
        <v>430.0</v>
      </c>
      <c r="Y203" s="4">
        <f>430-220</f>
        <v>210</v>
      </c>
      <c r="Z203" s="4">
        <v>294.0</v>
      </c>
      <c r="AA203" s="4" t="s">
        <v>276</v>
      </c>
      <c r="AB203" s="26">
        <v>515.0</v>
      </c>
      <c r="AC203" s="26">
        <f>515-150</f>
        <v>365</v>
      </c>
      <c r="AD203" s="4">
        <v>398.0</v>
      </c>
    </row>
    <row r="204" ht="15.75" customHeight="1">
      <c r="A204" s="4" t="s">
        <v>280</v>
      </c>
      <c r="B204" s="4">
        <v>28.0</v>
      </c>
      <c r="C204" s="4">
        <v>13.0</v>
      </c>
      <c r="D204" s="5">
        <v>24.0</v>
      </c>
      <c r="E204" s="4" t="s">
        <v>280</v>
      </c>
      <c r="F204" s="4">
        <v>29.0</v>
      </c>
      <c r="G204" s="4">
        <v>22.0</v>
      </c>
      <c r="H204" s="5">
        <v>22.0</v>
      </c>
      <c r="I204" s="5"/>
      <c r="J204" s="4" t="s">
        <v>280</v>
      </c>
      <c r="K204" s="4">
        <v>5.0</v>
      </c>
      <c r="L204" s="4">
        <v>5.0</v>
      </c>
      <c r="M204" s="5">
        <v>13.0</v>
      </c>
      <c r="N204" s="5"/>
      <c r="O204" s="5"/>
      <c r="P204" s="5"/>
      <c r="Q204" s="4" t="s">
        <v>280</v>
      </c>
      <c r="R204" s="102">
        <v>495.0</v>
      </c>
      <c r="S204" s="102">
        <v>90.0</v>
      </c>
      <c r="T204" s="4">
        <v>241.0</v>
      </c>
      <c r="W204" s="4" t="s">
        <v>278</v>
      </c>
      <c r="X204" s="4">
        <v>410.0</v>
      </c>
      <c r="Y204" s="4">
        <v>300.0</v>
      </c>
      <c r="Z204" s="4">
        <v>294.0</v>
      </c>
      <c r="AA204" s="4" t="s">
        <v>278</v>
      </c>
      <c r="AB204" s="26">
        <v>365.0</v>
      </c>
      <c r="AC204" s="26">
        <v>200.0</v>
      </c>
      <c r="AD204" s="4">
        <v>398.0</v>
      </c>
    </row>
    <row r="205" ht="15.75" customHeight="1">
      <c r="A205" s="4" t="s">
        <v>282</v>
      </c>
      <c r="B205" s="4">
        <v>53.0</v>
      </c>
      <c r="C205" s="4">
        <v>27.0</v>
      </c>
      <c r="D205" s="5">
        <v>24.0</v>
      </c>
      <c r="E205" s="4" t="s">
        <v>282</v>
      </c>
      <c r="F205" s="4">
        <v>62.0</v>
      </c>
      <c r="G205" s="4">
        <v>30.0</v>
      </c>
      <c r="H205" s="5">
        <v>22.0</v>
      </c>
      <c r="I205" s="5"/>
      <c r="J205" s="4" t="s">
        <v>282</v>
      </c>
      <c r="K205" s="4">
        <v>25.0</v>
      </c>
      <c r="L205" s="4">
        <v>25.0</v>
      </c>
      <c r="M205" s="5">
        <v>13.0</v>
      </c>
      <c r="N205" s="5"/>
      <c r="O205" s="5"/>
      <c r="P205" s="5"/>
      <c r="Q205" s="4" t="s">
        <v>282</v>
      </c>
      <c r="R205" s="102">
        <v>590.0</v>
      </c>
      <c r="S205" s="102">
        <v>240.0</v>
      </c>
      <c r="T205" s="4">
        <v>241.0</v>
      </c>
      <c r="W205" s="4" t="s">
        <v>280</v>
      </c>
      <c r="X205" s="4">
        <v>300.0</v>
      </c>
      <c r="Y205" s="4">
        <v>60.0</v>
      </c>
      <c r="Z205" s="4">
        <v>294.0</v>
      </c>
      <c r="AA205" s="4" t="s">
        <v>280</v>
      </c>
      <c r="AB205" s="26">
        <v>200.0</v>
      </c>
      <c r="AC205" s="26">
        <v>55.0</v>
      </c>
      <c r="AD205" s="4">
        <v>398.0</v>
      </c>
    </row>
    <row r="206" ht="15.75" customHeight="1">
      <c r="A206" s="4" t="s">
        <v>284</v>
      </c>
      <c r="B206" s="4">
        <v>27.0</v>
      </c>
      <c r="C206" s="4">
        <v>22.0</v>
      </c>
      <c r="D206" s="5">
        <v>24.0</v>
      </c>
      <c r="E206" s="4" t="s">
        <v>284</v>
      </c>
      <c r="F206" s="4">
        <v>30.0</v>
      </c>
      <c r="G206" s="4">
        <v>16.0</v>
      </c>
      <c r="H206" s="5">
        <v>22.0</v>
      </c>
      <c r="I206" s="5"/>
      <c r="J206" s="4" t="s">
        <v>284</v>
      </c>
      <c r="K206" s="4">
        <v>45.0</v>
      </c>
      <c r="L206" s="26">
        <v>20.0</v>
      </c>
      <c r="M206" s="5">
        <v>13.0</v>
      </c>
      <c r="N206" s="5"/>
      <c r="O206" s="5"/>
      <c r="P206" s="5"/>
      <c r="Q206" s="4" t="s">
        <v>284</v>
      </c>
      <c r="R206" s="102">
        <v>540.0</v>
      </c>
      <c r="S206" s="102">
        <f>540-150</f>
        <v>390</v>
      </c>
      <c r="T206" s="4">
        <v>241.0</v>
      </c>
      <c r="W206" s="4" t="s">
        <v>282</v>
      </c>
      <c r="X206" s="4">
        <v>560.0</v>
      </c>
      <c r="Y206" s="4">
        <v>230.0</v>
      </c>
      <c r="Z206" s="4">
        <v>294.0</v>
      </c>
      <c r="AA206" s="4" t="s">
        <v>282</v>
      </c>
      <c r="AB206" s="26">
        <v>555.0</v>
      </c>
      <c r="AC206" s="26">
        <v>450.0</v>
      </c>
      <c r="AD206" s="4">
        <v>398.0</v>
      </c>
    </row>
    <row r="207" ht="15.75" customHeight="1">
      <c r="A207" s="4" t="s">
        <v>286</v>
      </c>
      <c r="B207" s="4">
        <v>62.0</v>
      </c>
      <c r="C207" s="4">
        <v>62.0</v>
      </c>
      <c r="D207" s="5">
        <v>24.0</v>
      </c>
      <c r="E207" s="4" t="s">
        <v>286</v>
      </c>
      <c r="F207" s="4">
        <v>56.0</v>
      </c>
      <c r="G207" s="4">
        <v>20.0</v>
      </c>
      <c r="H207" s="5">
        <v>22.0</v>
      </c>
      <c r="I207" s="5"/>
      <c r="J207" s="4" t="s">
        <v>286</v>
      </c>
      <c r="K207" s="4">
        <v>40.0</v>
      </c>
      <c r="L207" s="4">
        <v>40.0</v>
      </c>
      <c r="M207" s="5">
        <v>13.0</v>
      </c>
      <c r="N207" s="5"/>
      <c r="O207" s="5"/>
      <c r="P207" s="5"/>
      <c r="Q207" s="4" t="s">
        <v>286</v>
      </c>
      <c r="R207" s="102">
        <v>390.0</v>
      </c>
      <c r="S207" s="102">
        <v>310.0</v>
      </c>
      <c r="T207" s="4">
        <v>241.0</v>
      </c>
      <c r="W207" s="4" t="s">
        <v>284</v>
      </c>
      <c r="X207" s="4">
        <v>530.0</v>
      </c>
      <c r="Y207" s="4">
        <v>482.0</v>
      </c>
      <c r="Z207" s="4">
        <v>294.0</v>
      </c>
      <c r="AA207" s="4" t="s">
        <v>284</v>
      </c>
      <c r="AB207" s="26">
        <v>450.0</v>
      </c>
      <c r="AC207" s="26">
        <v>160.0</v>
      </c>
      <c r="AD207" s="4">
        <v>398.0</v>
      </c>
    </row>
    <row r="208" ht="15.75" customHeight="1">
      <c r="A208" s="4" t="s">
        <v>288</v>
      </c>
      <c r="B208" s="4">
        <v>62.0</v>
      </c>
      <c r="C208" s="4">
        <v>27.0</v>
      </c>
      <c r="D208" s="5">
        <v>24.0</v>
      </c>
      <c r="E208" s="4" t="s">
        <v>288</v>
      </c>
      <c r="F208" s="4">
        <v>60.0</v>
      </c>
      <c r="G208" s="4">
        <v>13.0</v>
      </c>
      <c r="H208" s="5">
        <v>22.0</v>
      </c>
      <c r="I208" s="5"/>
      <c r="J208" s="4" t="s">
        <v>288</v>
      </c>
      <c r="K208" s="4">
        <v>40.0</v>
      </c>
      <c r="L208" s="4">
        <v>35.0</v>
      </c>
      <c r="M208" s="5">
        <v>13.0</v>
      </c>
      <c r="N208" s="5"/>
      <c r="O208" s="5"/>
      <c r="P208" s="5"/>
      <c r="Q208" s="4" t="s">
        <v>288</v>
      </c>
      <c r="R208" s="102">
        <v>310.0</v>
      </c>
      <c r="S208" s="102">
        <v>140.0</v>
      </c>
      <c r="T208" s="4">
        <v>241.0</v>
      </c>
      <c r="W208" s="4" t="s">
        <v>286</v>
      </c>
      <c r="X208" s="4">
        <v>482.0</v>
      </c>
      <c r="Y208" s="4">
        <v>52.0</v>
      </c>
      <c r="Z208" s="4">
        <v>294.0</v>
      </c>
      <c r="AA208" s="4" t="s">
        <v>286</v>
      </c>
      <c r="AB208" s="26">
        <v>1160.0</v>
      </c>
      <c r="AC208" s="26">
        <v>310.0</v>
      </c>
      <c r="AD208" s="4">
        <v>398.0</v>
      </c>
    </row>
    <row r="209" ht="15.75" customHeight="1">
      <c r="A209" s="4" t="s">
        <v>290</v>
      </c>
      <c r="B209" s="4">
        <v>67.0</v>
      </c>
      <c r="C209" s="4">
        <v>17.0</v>
      </c>
      <c r="D209" s="5">
        <v>24.0</v>
      </c>
      <c r="E209" s="4" t="s">
        <v>290</v>
      </c>
      <c r="F209" s="4">
        <v>53.0</v>
      </c>
      <c r="G209" s="4">
        <v>46.0</v>
      </c>
      <c r="H209" s="5">
        <v>22.0</v>
      </c>
      <c r="I209" s="5"/>
      <c r="J209" s="4" t="s">
        <v>290</v>
      </c>
      <c r="K209" s="4">
        <v>35.0</v>
      </c>
      <c r="L209" s="4">
        <v>35.0</v>
      </c>
      <c r="M209" s="5">
        <v>13.0</v>
      </c>
      <c r="N209" s="5"/>
      <c r="O209" s="5"/>
      <c r="P209" s="5"/>
      <c r="Q209" s="4" t="s">
        <v>290</v>
      </c>
      <c r="R209" s="102">
        <v>740.0</v>
      </c>
      <c r="S209" s="102">
        <v>500.0</v>
      </c>
      <c r="T209" s="4">
        <v>241.0</v>
      </c>
      <c r="W209" s="4" t="s">
        <v>288</v>
      </c>
      <c r="X209" s="4">
        <v>352.0</v>
      </c>
      <c r="Y209" s="4">
        <v>287.0</v>
      </c>
      <c r="Z209" s="4">
        <v>294.0</v>
      </c>
      <c r="AA209" s="4" t="s">
        <v>288</v>
      </c>
      <c r="AB209" s="26">
        <v>310.0</v>
      </c>
      <c r="AC209" s="26">
        <v>0.0</v>
      </c>
      <c r="AD209" s="4">
        <v>398.0</v>
      </c>
    </row>
    <row r="210" ht="15.75" customHeight="1">
      <c r="A210" s="4" t="s">
        <v>292</v>
      </c>
      <c r="B210" s="4">
        <v>57.0</v>
      </c>
      <c r="C210" s="4">
        <v>40.0</v>
      </c>
      <c r="D210" s="5">
        <v>24.0</v>
      </c>
      <c r="E210" s="4" t="s">
        <v>292</v>
      </c>
      <c r="F210" s="4">
        <v>46.0</v>
      </c>
      <c r="G210" s="4">
        <v>46.0</v>
      </c>
      <c r="H210" s="5">
        <v>22.0</v>
      </c>
      <c r="I210" s="5"/>
      <c r="J210" s="4" t="s">
        <v>292</v>
      </c>
      <c r="K210" s="4">
        <v>35.0</v>
      </c>
      <c r="L210" s="4">
        <v>35.0</v>
      </c>
      <c r="M210" s="5">
        <v>13.0</v>
      </c>
      <c r="N210" s="5"/>
      <c r="O210" s="5"/>
      <c r="P210" s="5"/>
      <c r="Q210" s="4" t="s">
        <v>292</v>
      </c>
      <c r="R210" s="102">
        <v>500.0</v>
      </c>
      <c r="S210" s="102">
        <v>500.0</v>
      </c>
      <c r="T210" s="4">
        <v>241.0</v>
      </c>
      <c r="W210" s="4" t="s">
        <v>290</v>
      </c>
      <c r="X210" s="4">
        <v>887.0</v>
      </c>
      <c r="Y210" s="4">
        <v>840.0</v>
      </c>
      <c r="Z210" s="4">
        <v>294.0</v>
      </c>
      <c r="AA210" s="4" t="s">
        <v>290</v>
      </c>
      <c r="AB210" s="26">
        <v>270.0</v>
      </c>
      <c r="AC210" s="26">
        <v>60.0</v>
      </c>
      <c r="AD210" s="4">
        <v>398.0</v>
      </c>
    </row>
    <row r="211" ht="15.75" customHeight="1">
      <c r="A211" s="4" t="s">
        <v>294</v>
      </c>
      <c r="B211" s="4">
        <v>40.0</v>
      </c>
      <c r="C211" s="4">
        <v>8.0</v>
      </c>
      <c r="D211" s="5">
        <v>24.0</v>
      </c>
      <c r="E211" s="4" t="s">
        <v>294</v>
      </c>
      <c r="F211" s="4">
        <v>46.0</v>
      </c>
      <c r="G211" s="4">
        <v>9.0</v>
      </c>
      <c r="H211" s="5">
        <v>22.0</v>
      </c>
      <c r="I211" s="5"/>
      <c r="J211" s="4" t="s">
        <v>294</v>
      </c>
      <c r="K211" s="4">
        <v>35.0</v>
      </c>
      <c r="L211" s="4">
        <v>30.0</v>
      </c>
      <c r="M211" s="5">
        <v>13.0</v>
      </c>
      <c r="N211" s="5"/>
      <c r="O211" s="5"/>
      <c r="P211" s="5"/>
      <c r="Q211" s="4" t="s">
        <v>294</v>
      </c>
      <c r="R211" s="102">
        <v>500.0</v>
      </c>
      <c r="S211" s="102">
        <v>175.0</v>
      </c>
      <c r="T211" s="4">
        <v>241.0</v>
      </c>
      <c r="W211" s="4" t="s">
        <v>292</v>
      </c>
      <c r="X211" s="4">
        <v>843.0</v>
      </c>
      <c r="Y211" s="4">
        <v>799.0</v>
      </c>
      <c r="Z211" s="4">
        <v>294.0</v>
      </c>
      <c r="AA211" s="4" t="s">
        <v>292</v>
      </c>
      <c r="AB211" s="26">
        <v>560.0</v>
      </c>
      <c r="AC211" s="26">
        <v>217.0</v>
      </c>
      <c r="AD211" s="4">
        <v>398.0</v>
      </c>
    </row>
    <row r="212" ht="15.75" customHeight="1">
      <c r="A212" s="4" t="s">
        <v>296</v>
      </c>
      <c r="B212" s="4">
        <v>88.0</v>
      </c>
      <c r="C212" s="4">
        <v>36.0</v>
      </c>
      <c r="D212" s="5">
        <v>24.0</v>
      </c>
      <c r="E212" s="4" t="s">
        <v>296</v>
      </c>
      <c r="F212" s="4">
        <v>49.0</v>
      </c>
      <c r="G212" s="4">
        <v>23.0</v>
      </c>
      <c r="H212" s="5">
        <v>22.0</v>
      </c>
      <c r="I212" s="5"/>
      <c r="J212" s="4" t="s">
        <v>296</v>
      </c>
      <c r="K212" s="4">
        <v>30.0</v>
      </c>
      <c r="L212" s="4">
        <v>30.0</v>
      </c>
      <c r="M212" s="5">
        <v>13.0</v>
      </c>
      <c r="N212" s="5"/>
      <c r="O212" s="5"/>
      <c r="P212" s="5"/>
      <c r="Q212" s="4" t="s">
        <v>296</v>
      </c>
      <c r="R212" s="102">
        <v>675.0</v>
      </c>
      <c r="S212" s="102">
        <v>455.0</v>
      </c>
      <c r="T212" s="4">
        <v>241.0</v>
      </c>
      <c r="W212" s="4" t="s">
        <v>294</v>
      </c>
      <c r="X212" s="4">
        <v>799.0</v>
      </c>
      <c r="Y212" s="4">
        <v>729.0</v>
      </c>
      <c r="Z212" s="4">
        <v>294.0</v>
      </c>
      <c r="AA212" s="4" t="s">
        <v>294</v>
      </c>
      <c r="AB212" s="26">
        <v>217.0</v>
      </c>
      <c r="AC212" s="26">
        <v>27.0</v>
      </c>
      <c r="AD212" s="4">
        <v>398.0</v>
      </c>
    </row>
    <row r="213" ht="15.75" customHeight="1">
      <c r="A213" s="4" t="s">
        <v>298</v>
      </c>
      <c r="B213" s="4">
        <v>76.0</v>
      </c>
      <c r="C213" s="4">
        <v>26.0</v>
      </c>
      <c r="D213" s="5">
        <v>24.0</v>
      </c>
      <c r="E213" s="4" t="s">
        <v>298</v>
      </c>
      <c r="F213" s="4">
        <v>63.0</v>
      </c>
      <c r="G213" s="4">
        <v>35.0</v>
      </c>
      <c r="H213" s="5">
        <v>22.0</v>
      </c>
      <c r="I213" s="5"/>
      <c r="J213" s="4" t="s">
        <v>298</v>
      </c>
      <c r="K213" s="4">
        <v>30.0</v>
      </c>
      <c r="L213" s="4">
        <v>30.0</v>
      </c>
      <c r="M213" s="5">
        <v>13.0</v>
      </c>
      <c r="N213" s="5"/>
      <c r="O213" s="5"/>
      <c r="P213" s="5"/>
      <c r="Q213" s="4" t="s">
        <v>298</v>
      </c>
      <c r="R213" s="102">
        <v>455.0</v>
      </c>
      <c r="S213" s="102">
        <v>0.0</v>
      </c>
      <c r="T213" s="4">
        <v>241.0</v>
      </c>
      <c r="W213" s="4" t="s">
        <v>296</v>
      </c>
      <c r="X213" s="4">
        <v>729.0</v>
      </c>
      <c r="Y213" s="4">
        <v>239.0</v>
      </c>
      <c r="Z213" s="4">
        <v>294.0</v>
      </c>
      <c r="AA213" s="4" t="s">
        <v>296</v>
      </c>
      <c r="AB213" s="26">
        <v>1027.0</v>
      </c>
      <c r="AC213" s="26">
        <v>383.0</v>
      </c>
      <c r="AD213" s="4">
        <v>398.0</v>
      </c>
    </row>
    <row r="214" ht="15.75" customHeight="1">
      <c r="A214" s="4" t="s">
        <v>300</v>
      </c>
      <c r="B214" s="4">
        <v>66.0</v>
      </c>
      <c r="C214" s="4">
        <v>33.0</v>
      </c>
      <c r="D214" s="5">
        <v>24.0</v>
      </c>
      <c r="E214" s="4" t="s">
        <v>300</v>
      </c>
      <c r="F214" s="4">
        <v>75.0</v>
      </c>
      <c r="G214" s="4">
        <v>20.0</v>
      </c>
      <c r="H214" s="5">
        <v>22.0</v>
      </c>
      <c r="I214" s="5"/>
      <c r="J214" s="4" t="s">
        <v>300</v>
      </c>
      <c r="K214" s="4">
        <v>30.0</v>
      </c>
      <c r="L214" s="4">
        <v>30.0</v>
      </c>
      <c r="M214" s="5">
        <v>13.0</v>
      </c>
      <c r="N214" s="5"/>
      <c r="O214" s="5"/>
      <c r="P214" s="5"/>
      <c r="Q214" s="4" t="s">
        <v>300</v>
      </c>
      <c r="R214" s="102">
        <v>585.0</v>
      </c>
      <c r="S214" s="102">
        <v>210.0</v>
      </c>
      <c r="T214" s="4">
        <v>241.0</v>
      </c>
      <c r="W214" s="4" t="s">
        <v>298</v>
      </c>
      <c r="X214" s="4">
        <v>239.0</v>
      </c>
      <c r="Y214" s="4">
        <v>214.0</v>
      </c>
      <c r="Z214" s="4">
        <v>294.0</v>
      </c>
      <c r="AA214" s="4" t="s">
        <v>298</v>
      </c>
      <c r="AB214" s="26">
        <v>983.0</v>
      </c>
      <c r="AC214" s="26">
        <v>0.0</v>
      </c>
      <c r="AD214" s="4">
        <v>398.0</v>
      </c>
    </row>
    <row r="215" ht="15.75" customHeight="1">
      <c r="A215" s="4" t="s">
        <v>302</v>
      </c>
      <c r="B215" s="4">
        <v>73.0</v>
      </c>
      <c r="C215" s="4">
        <v>45.0</v>
      </c>
      <c r="D215" s="5">
        <v>24.0</v>
      </c>
      <c r="E215" s="4" t="s">
        <v>302</v>
      </c>
      <c r="F215" s="4">
        <v>60.0</v>
      </c>
      <c r="G215" s="4">
        <v>60.0</v>
      </c>
      <c r="H215" s="5">
        <v>22.0</v>
      </c>
      <c r="I215" s="5"/>
      <c r="J215" s="4" t="s">
        <v>302</v>
      </c>
      <c r="K215" s="4">
        <v>30.0</v>
      </c>
      <c r="L215" s="4">
        <v>30.0</v>
      </c>
      <c r="M215" s="5">
        <v>13.0</v>
      </c>
      <c r="N215" s="5"/>
      <c r="O215" s="5"/>
      <c r="P215" s="5"/>
      <c r="Q215" s="4" t="s">
        <v>302</v>
      </c>
      <c r="R215" s="102">
        <v>810.0</v>
      </c>
      <c r="S215" s="102">
        <v>540.0</v>
      </c>
      <c r="T215" s="4">
        <v>241.0</v>
      </c>
      <c r="W215" s="4" t="s">
        <v>300</v>
      </c>
      <c r="X215" s="4">
        <v>814.0</v>
      </c>
      <c r="Y215" s="4">
        <v>614.0</v>
      </c>
      <c r="Z215" s="4">
        <v>294.0</v>
      </c>
      <c r="AA215" s="4" t="s">
        <v>300</v>
      </c>
      <c r="AB215" s="26">
        <v>503.0</v>
      </c>
      <c r="AC215" s="26">
        <v>453.0</v>
      </c>
      <c r="AD215" s="4">
        <v>398.0</v>
      </c>
    </row>
    <row r="216" ht="15.75" customHeight="1">
      <c r="A216" s="4" t="s">
        <v>304</v>
      </c>
      <c r="B216" s="4">
        <v>85.0</v>
      </c>
      <c r="C216" s="4">
        <v>40.0</v>
      </c>
      <c r="D216" s="5">
        <v>24.0</v>
      </c>
      <c r="E216" s="4" t="s">
        <v>304</v>
      </c>
      <c r="F216" s="4">
        <v>60.0</v>
      </c>
      <c r="G216" s="4">
        <v>21.0</v>
      </c>
      <c r="H216" s="5">
        <v>22.0</v>
      </c>
      <c r="I216" s="5"/>
      <c r="J216" s="4" t="s">
        <v>304</v>
      </c>
      <c r="K216" s="4">
        <v>30.0</v>
      </c>
      <c r="L216" s="4">
        <v>30.0</v>
      </c>
      <c r="M216" s="5">
        <v>13.0</v>
      </c>
      <c r="N216" s="5"/>
      <c r="O216" s="5"/>
      <c r="P216" s="5"/>
      <c r="Q216" s="4" t="s">
        <v>304</v>
      </c>
      <c r="R216" s="102">
        <v>540.0</v>
      </c>
      <c r="S216" s="102">
        <v>420.0</v>
      </c>
      <c r="T216" s="4">
        <v>241.0</v>
      </c>
      <c r="W216" s="4" t="s">
        <v>302</v>
      </c>
      <c r="X216" s="4">
        <v>614.0</v>
      </c>
      <c r="Y216" s="4">
        <v>559.0</v>
      </c>
      <c r="Z216" s="4">
        <v>294.0</v>
      </c>
      <c r="AA216" s="4" t="s">
        <v>302</v>
      </c>
      <c r="AB216" s="26">
        <v>853.0</v>
      </c>
      <c r="AC216" s="26">
        <v>353.0</v>
      </c>
      <c r="AD216" s="4">
        <v>398.0</v>
      </c>
    </row>
    <row r="217" ht="15.75" customHeight="1">
      <c r="A217" s="4" t="s">
        <v>306</v>
      </c>
      <c r="B217" s="4">
        <v>80.0</v>
      </c>
      <c r="C217" s="4">
        <v>55.0</v>
      </c>
      <c r="D217" s="5">
        <v>24.0</v>
      </c>
      <c r="E217" s="4" t="s">
        <v>306</v>
      </c>
      <c r="F217" s="4">
        <v>61.0</v>
      </c>
      <c r="G217" s="4">
        <v>36.0</v>
      </c>
      <c r="H217" s="5">
        <v>22.0</v>
      </c>
      <c r="I217" s="5"/>
      <c r="J217" s="4" t="s">
        <v>306</v>
      </c>
      <c r="K217" s="4">
        <v>30.0</v>
      </c>
      <c r="L217" s="4">
        <v>30.0</v>
      </c>
      <c r="M217" s="5">
        <v>13.0</v>
      </c>
      <c r="N217" s="5"/>
      <c r="O217" s="5"/>
      <c r="P217" s="5"/>
      <c r="Q217" s="4" t="s">
        <v>306</v>
      </c>
      <c r="R217" s="102">
        <v>420.0</v>
      </c>
      <c r="S217" s="102">
        <v>420.0</v>
      </c>
      <c r="T217" s="4">
        <v>241.0</v>
      </c>
      <c r="W217" s="4" t="s">
        <v>304</v>
      </c>
      <c r="X217" s="4">
        <v>559.0</v>
      </c>
      <c r="Y217" s="4">
        <v>9.0</v>
      </c>
      <c r="Z217" s="4">
        <v>294.0</v>
      </c>
      <c r="AA217" s="4" t="s">
        <v>304</v>
      </c>
      <c r="AB217" s="26">
        <v>353.0</v>
      </c>
      <c r="AC217" s="26">
        <v>143.0</v>
      </c>
      <c r="AD217" s="4">
        <v>398.0</v>
      </c>
    </row>
    <row r="218" ht="15.75" customHeight="1">
      <c r="A218" s="4" t="s">
        <v>308</v>
      </c>
      <c r="B218" s="4">
        <v>95.0</v>
      </c>
      <c r="C218" s="4">
        <v>25.0</v>
      </c>
      <c r="D218" s="5">
        <v>24.0</v>
      </c>
      <c r="E218" s="4" t="s">
        <v>308</v>
      </c>
      <c r="F218" s="4">
        <v>76.0</v>
      </c>
      <c r="G218" s="4">
        <v>44.0</v>
      </c>
      <c r="H218" s="5">
        <v>22.0</v>
      </c>
      <c r="I218" s="5"/>
      <c r="J218" s="4" t="s">
        <v>308</v>
      </c>
      <c r="K218" s="4">
        <v>30.0</v>
      </c>
      <c r="L218" s="4">
        <v>30.0</v>
      </c>
      <c r="M218" s="5">
        <v>13.0</v>
      </c>
      <c r="N218" s="5"/>
      <c r="O218" s="5"/>
      <c r="P218" s="5"/>
      <c r="Q218" s="4" t="s">
        <v>308</v>
      </c>
      <c r="R218" s="102">
        <v>420.0</v>
      </c>
      <c r="S218" s="102">
        <v>300.0</v>
      </c>
      <c r="T218" s="4">
        <v>241.0</v>
      </c>
      <c r="W218" s="4" t="s">
        <v>306</v>
      </c>
      <c r="X218" s="4">
        <v>609.0</v>
      </c>
      <c r="Y218" s="26">
        <v>0.0</v>
      </c>
      <c r="Z218" s="4">
        <v>294.0</v>
      </c>
      <c r="AA218" s="4" t="s">
        <v>306</v>
      </c>
      <c r="AB218" s="26">
        <v>743.0</v>
      </c>
      <c r="AC218" s="26">
        <v>598.0</v>
      </c>
      <c r="AD218" s="4">
        <v>398.0</v>
      </c>
    </row>
    <row r="219" ht="15.75" customHeight="1">
      <c r="A219" s="4" t="s">
        <v>310</v>
      </c>
      <c r="B219" s="4">
        <v>65.0</v>
      </c>
      <c r="C219" s="4">
        <v>46.0</v>
      </c>
      <c r="D219" s="5">
        <v>24.0</v>
      </c>
      <c r="E219" s="4" t="s">
        <v>310</v>
      </c>
      <c r="F219" s="4">
        <v>84.0</v>
      </c>
      <c r="G219" s="4">
        <v>71.0</v>
      </c>
      <c r="H219" s="5">
        <v>22.0</v>
      </c>
      <c r="I219" s="5"/>
      <c r="J219" s="4" t="s">
        <v>310</v>
      </c>
      <c r="K219" s="4">
        <v>30.0</v>
      </c>
      <c r="L219" s="4">
        <v>25.0</v>
      </c>
      <c r="M219" s="5">
        <v>13.0</v>
      </c>
      <c r="N219" s="5"/>
      <c r="O219" s="5"/>
      <c r="P219" s="5"/>
      <c r="Q219" s="4" t="s">
        <v>310</v>
      </c>
      <c r="R219" s="102">
        <v>800.0</v>
      </c>
      <c r="S219" s="102">
        <v>800.0</v>
      </c>
      <c r="T219" s="4">
        <v>241.0</v>
      </c>
      <c r="W219" s="4" t="s">
        <v>308</v>
      </c>
      <c r="X219" s="4">
        <v>559.0</v>
      </c>
      <c r="Y219" s="4">
        <v>189.0</v>
      </c>
      <c r="Z219" s="4">
        <v>294.0</v>
      </c>
      <c r="AA219" s="4" t="s">
        <v>308</v>
      </c>
      <c r="AB219" s="26">
        <v>598.0</v>
      </c>
      <c r="AC219" s="26">
        <v>98.0</v>
      </c>
      <c r="AD219" s="4">
        <v>398.0</v>
      </c>
    </row>
    <row r="220" ht="15.75" customHeight="1">
      <c r="A220" s="4" t="s">
        <v>312</v>
      </c>
      <c r="B220" s="4">
        <v>86.0</v>
      </c>
      <c r="C220" s="4">
        <v>66.0</v>
      </c>
      <c r="D220" s="5">
        <v>24.0</v>
      </c>
      <c r="E220" s="4" t="s">
        <v>312</v>
      </c>
      <c r="F220" s="4">
        <v>71.0</v>
      </c>
      <c r="G220" s="4">
        <v>42.0</v>
      </c>
      <c r="H220" s="5">
        <v>22.0</v>
      </c>
      <c r="I220" s="5"/>
      <c r="J220" s="4" t="s">
        <v>312</v>
      </c>
      <c r="K220" s="4">
        <v>25.0</v>
      </c>
      <c r="L220" s="4">
        <v>25.0</v>
      </c>
      <c r="M220" s="5">
        <v>13.0</v>
      </c>
      <c r="N220" s="5"/>
      <c r="O220" s="5"/>
      <c r="P220" s="5"/>
      <c r="Q220" s="4" t="s">
        <v>312</v>
      </c>
      <c r="R220" s="102">
        <v>800.0</v>
      </c>
      <c r="S220" s="102">
        <v>625.0</v>
      </c>
      <c r="T220" s="4">
        <v>241.0</v>
      </c>
      <c r="W220" s="4" t="s">
        <v>310</v>
      </c>
      <c r="X220" s="4">
        <v>689.0</v>
      </c>
      <c r="Y220" s="4">
        <v>39.0</v>
      </c>
      <c r="Z220" s="4">
        <v>294.0</v>
      </c>
      <c r="AA220" s="4" t="s">
        <v>310</v>
      </c>
      <c r="AB220" s="26">
        <v>598.0</v>
      </c>
      <c r="AC220" s="26">
        <v>73.0</v>
      </c>
      <c r="AD220" s="4">
        <v>398.0</v>
      </c>
    </row>
    <row r="221" ht="15.75" customHeight="1">
      <c r="A221" s="4" t="s">
        <v>314</v>
      </c>
      <c r="B221" s="4">
        <v>66.0</v>
      </c>
      <c r="C221" s="4">
        <v>66.0</v>
      </c>
      <c r="D221" s="5">
        <v>24.0</v>
      </c>
      <c r="E221" s="4" t="s">
        <v>314</v>
      </c>
      <c r="F221" s="4">
        <v>42.0</v>
      </c>
      <c r="G221" s="4">
        <v>7.0</v>
      </c>
      <c r="H221" s="5">
        <v>22.0</v>
      </c>
      <c r="I221" s="5"/>
      <c r="J221" s="4" t="s">
        <v>314</v>
      </c>
      <c r="K221" s="4">
        <v>25.0</v>
      </c>
      <c r="L221" s="4">
        <v>25.0</v>
      </c>
      <c r="M221" s="5">
        <v>13.0</v>
      </c>
      <c r="N221" s="5"/>
      <c r="O221" s="5"/>
      <c r="P221" s="5"/>
      <c r="Q221" s="4" t="s">
        <v>314</v>
      </c>
      <c r="R221" s="102">
        <v>625.0</v>
      </c>
      <c r="S221" s="102">
        <v>575.0</v>
      </c>
      <c r="T221" s="4">
        <v>241.0</v>
      </c>
      <c r="W221" s="4" t="s">
        <v>312</v>
      </c>
      <c r="X221" s="4">
        <v>539.0</v>
      </c>
      <c r="Y221" s="4">
        <v>179.0</v>
      </c>
      <c r="Z221" s="4">
        <v>294.0</v>
      </c>
      <c r="AA221" s="4" t="s">
        <v>312</v>
      </c>
      <c r="AB221" s="26">
        <v>573.0</v>
      </c>
      <c r="AC221" s="26">
        <v>223.0</v>
      </c>
      <c r="AD221" s="4">
        <v>398.0</v>
      </c>
    </row>
    <row r="222" ht="15.75" customHeight="1">
      <c r="A222" s="4" t="s">
        <v>316</v>
      </c>
      <c r="B222" s="4">
        <v>66.0</v>
      </c>
      <c r="C222" s="4">
        <v>56.0</v>
      </c>
      <c r="D222" s="5">
        <v>24.0</v>
      </c>
      <c r="E222" s="4" t="s">
        <v>316</v>
      </c>
      <c r="F222" s="4">
        <v>47.0</v>
      </c>
      <c r="G222" s="4">
        <v>23.0</v>
      </c>
      <c r="H222" s="5">
        <v>22.0</v>
      </c>
      <c r="I222" s="5"/>
      <c r="J222" s="4" t="s">
        <v>316</v>
      </c>
      <c r="K222" s="4">
        <v>25.0</v>
      </c>
      <c r="L222" s="4">
        <v>15.0</v>
      </c>
      <c r="M222" s="5">
        <v>13.0</v>
      </c>
      <c r="N222" s="5"/>
      <c r="O222" s="5"/>
      <c r="P222" s="5"/>
      <c r="Q222" s="4" t="s">
        <v>316</v>
      </c>
      <c r="R222" s="102">
        <v>575.0</v>
      </c>
      <c r="S222" s="102">
        <v>250.0</v>
      </c>
      <c r="T222" s="4">
        <v>241.0</v>
      </c>
      <c r="W222" s="4" t="s">
        <v>314</v>
      </c>
      <c r="X222" s="4">
        <v>679.0</v>
      </c>
      <c r="Y222" s="4">
        <v>549.0</v>
      </c>
      <c r="Z222" s="4">
        <v>294.0</v>
      </c>
      <c r="AA222" s="4" t="s">
        <v>314</v>
      </c>
      <c r="AB222" s="26">
        <v>723.0</v>
      </c>
      <c r="AC222" s="26">
        <v>83.0</v>
      </c>
      <c r="AD222" s="4">
        <v>398.0</v>
      </c>
    </row>
    <row r="223" ht="15.75" customHeight="1">
      <c r="A223" s="4" t="s">
        <v>318</v>
      </c>
      <c r="B223" s="4">
        <v>56.0</v>
      </c>
      <c r="C223" s="4">
        <v>36.0</v>
      </c>
      <c r="D223" s="5">
        <v>24.0</v>
      </c>
      <c r="E223" s="4" t="s">
        <v>318</v>
      </c>
      <c r="F223" s="4">
        <v>63.0</v>
      </c>
      <c r="G223" s="4">
        <v>11.0</v>
      </c>
      <c r="H223" s="5">
        <v>22.0</v>
      </c>
      <c r="I223" s="5"/>
      <c r="J223" s="4" t="s">
        <v>318</v>
      </c>
      <c r="K223" s="4">
        <v>35.0</v>
      </c>
      <c r="L223" s="4">
        <v>25.0</v>
      </c>
      <c r="M223" s="5">
        <v>13.0</v>
      </c>
      <c r="N223" s="5"/>
      <c r="O223" s="5"/>
      <c r="P223" s="5"/>
      <c r="Q223" s="4" t="s">
        <v>318</v>
      </c>
      <c r="R223" s="102">
        <v>550.0</v>
      </c>
      <c r="S223" s="102">
        <v>300.0</v>
      </c>
      <c r="T223" s="4">
        <v>241.0</v>
      </c>
      <c r="W223" s="4" t="s">
        <v>316</v>
      </c>
      <c r="X223" s="4">
        <v>549.0</v>
      </c>
      <c r="Y223" s="4">
        <v>249.0</v>
      </c>
      <c r="Z223" s="4">
        <v>294.0</v>
      </c>
      <c r="AA223" s="4" t="s">
        <v>316</v>
      </c>
      <c r="AB223" s="26">
        <v>583.0</v>
      </c>
      <c r="AC223" s="26">
        <v>368.0</v>
      </c>
      <c r="AD223" s="4">
        <v>398.0</v>
      </c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W224" s="4" t="s">
        <v>318</v>
      </c>
      <c r="X224" s="4">
        <v>549.0</v>
      </c>
      <c r="Y224" s="4">
        <v>349.0</v>
      </c>
      <c r="Z224" s="4">
        <v>294.0</v>
      </c>
      <c r="AA224" s="4" t="s">
        <v>318</v>
      </c>
      <c r="AB224" s="26">
        <v>668.0</v>
      </c>
      <c r="AC224" s="26">
        <v>568.0</v>
      </c>
      <c r="AD224" s="4">
        <v>398.0</v>
      </c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5.75" customHeight="1">
      <c r="A226" s="58" t="s">
        <v>264</v>
      </c>
      <c r="B226" s="59" t="s">
        <v>265</v>
      </c>
      <c r="C226" s="59" t="s">
        <v>266</v>
      </c>
      <c r="D226" s="5" t="s">
        <v>366</v>
      </c>
      <c r="E226" s="5"/>
      <c r="F226" s="5"/>
      <c r="G226" s="5"/>
      <c r="H226" s="58" t="s">
        <v>264</v>
      </c>
      <c r="I226" s="59" t="s">
        <v>265</v>
      </c>
      <c r="J226" s="59" t="s">
        <v>266</v>
      </c>
      <c r="K226" s="5" t="s">
        <v>366</v>
      </c>
      <c r="L226" s="5"/>
      <c r="M226" s="5"/>
      <c r="N226" s="5"/>
      <c r="O226" s="5"/>
      <c r="P226" s="5"/>
      <c r="Q226" s="5"/>
      <c r="R226" s="5"/>
      <c r="S226" s="5"/>
    </row>
    <row r="227" ht="15.75" customHeight="1">
      <c r="A227" s="4" t="s">
        <v>268</v>
      </c>
      <c r="B227" s="4">
        <v>8.0</v>
      </c>
      <c r="C227" s="4">
        <v>8.0</v>
      </c>
      <c r="D227" s="5">
        <v>6.0</v>
      </c>
      <c r="E227" s="5"/>
      <c r="F227" s="5"/>
      <c r="G227" s="5"/>
      <c r="H227" s="4" t="s">
        <v>268</v>
      </c>
      <c r="I227" s="4">
        <v>230.0</v>
      </c>
      <c r="J227" s="4">
        <v>230.0</v>
      </c>
      <c r="K227" s="5">
        <v>104.0</v>
      </c>
      <c r="L227" s="5"/>
      <c r="M227" s="5"/>
      <c r="N227" s="5"/>
      <c r="O227" s="5"/>
      <c r="P227" s="5"/>
      <c r="Q227" s="5"/>
      <c r="R227" s="5"/>
      <c r="S227" s="5"/>
    </row>
    <row r="228" ht="15.75" customHeight="1">
      <c r="A228" s="4" t="s">
        <v>270</v>
      </c>
      <c r="B228" s="4">
        <v>8.0</v>
      </c>
      <c r="C228" s="4">
        <v>6.0</v>
      </c>
      <c r="D228" s="5">
        <v>6.0</v>
      </c>
      <c r="E228" s="5"/>
      <c r="F228" s="5"/>
      <c r="G228" s="5"/>
      <c r="H228" s="4" t="s">
        <v>270</v>
      </c>
      <c r="I228" s="4">
        <v>230.0</v>
      </c>
      <c r="J228" s="4">
        <v>230.0</v>
      </c>
      <c r="K228" s="5">
        <v>104.0</v>
      </c>
      <c r="L228" s="5"/>
      <c r="M228" s="5"/>
      <c r="N228" s="5"/>
      <c r="O228" s="5"/>
      <c r="P228" s="5"/>
      <c r="Q228" s="5"/>
      <c r="R228" s="5"/>
      <c r="S228" s="5"/>
    </row>
    <row r="229" ht="15.75" customHeight="1">
      <c r="A229" s="4" t="s">
        <v>272</v>
      </c>
      <c r="B229" s="4">
        <v>6.0</v>
      </c>
      <c r="C229" s="4">
        <v>6.0</v>
      </c>
      <c r="D229" s="5">
        <v>6.0</v>
      </c>
      <c r="E229" s="5"/>
      <c r="F229" s="5"/>
      <c r="G229" s="5"/>
      <c r="H229" s="4" t="s">
        <v>272</v>
      </c>
      <c r="I229" s="4">
        <v>230.0</v>
      </c>
      <c r="J229" s="4">
        <v>230.0</v>
      </c>
      <c r="K229" s="5">
        <v>104.0</v>
      </c>
      <c r="L229" s="5"/>
      <c r="M229" s="5"/>
      <c r="N229" s="5"/>
      <c r="O229" s="5"/>
      <c r="P229" s="5"/>
      <c r="Q229" s="5"/>
      <c r="R229" s="5"/>
      <c r="S229" s="5"/>
    </row>
    <row r="230" ht="15.75" customHeight="1">
      <c r="A230" s="4" t="s">
        <v>274</v>
      </c>
      <c r="B230" s="4">
        <v>6.0</v>
      </c>
      <c r="C230" s="4">
        <v>3.0</v>
      </c>
      <c r="D230" s="5">
        <v>6.0</v>
      </c>
      <c r="E230" s="5"/>
      <c r="F230" s="5"/>
      <c r="G230" s="5"/>
      <c r="H230" s="4" t="s">
        <v>274</v>
      </c>
      <c r="I230" s="4">
        <v>230.0</v>
      </c>
      <c r="J230" s="4">
        <v>230.0</v>
      </c>
      <c r="K230" s="5">
        <v>104.0</v>
      </c>
      <c r="L230" s="5"/>
      <c r="M230" s="5"/>
      <c r="N230" s="5"/>
      <c r="O230" s="5"/>
      <c r="P230" s="5"/>
      <c r="Q230" s="5"/>
      <c r="R230" s="5"/>
      <c r="S230" s="5"/>
    </row>
    <row r="231" ht="15.75" customHeight="1">
      <c r="A231" s="4" t="s">
        <v>276</v>
      </c>
      <c r="B231" s="4">
        <v>6.0</v>
      </c>
      <c r="C231" s="4">
        <v>2.0</v>
      </c>
      <c r="D231" s="5">
        <v>6.0</v>
      </c>
      <c r="E231" s="5"/>
      <c r="F231" s="5"/>
      <c r="G231" s="5"/>
      <c r="H231" s="4" t="s">
        <v>276</v>
      </c>
      <c r="I231" s="4">
        <v>230.0</v>
      </c>
      <c r="J231" s="4">
        <v>230.0</v>
      </c>
      <c r="K231" s="5">
        <v>104.0</v>
      </c>
      <c r="L231" s="5"/>
      <c r="M231" s="5"/>
      <c r="N231" s="5"/>
      <c r="O231" s="5"/>
      <c r="P231" s="5"/>
      <c r="Q231" s="5"/>
      <c r="R231" s="5"/>
      <c r="S231" s="5"/>
    </row>
    <row r="232" ht="15.75" customHeight="1">
      <c r="A232" s="4" t="s">
        <v>278</v>
      </c>
      <c r="B232" s="4">
        <v>7.0</v>
      </c>
      <c r="C232" s="4">
        <v>3.0</v>
      </c>
      <c r="D232" s="5">
        <v>6.0</v>
      </c>
      <c r="E232" s="5"/>
      <c r="F232" s="5"/>
      <c r="G232" s="5"/>
      <c r="H232" s="4" t="s">
        <v>278</v>
      </c>
      <c r="I232" s="4">
        <v>230.0</v>
      </c>
      <c r="J232" s="4">
        <v>230.0</v>
      </c>
      <c r="K232" s="5">
        <v>104.0</v>
      </c>
      <c r="L232" s="5"/>
      <c r="M232" s="5"/>
      <c r="N232" s="5"/>
      <c r="O232" s="5"/>
      <c r="P232" s="5"/>
      <c r="Q232" s="5"/>
      <c r="R232" s="5"/>
      <c r="S232" s="5"/>
    </row>
    <row r="233" ht="15.75" customHeight="1">
      <c r="A233" s="4" t="s">
        <v>280</v>
      </c>
      <c r="B233" s="4">
        <v>3.0</v>
      </c>
      <c r="C233" s="4">
        <v>3.0</v>
      </c>
      <c r="D233" s="5">
        <v>6.0</v>
      </c>
      <c r="E233" s="5"/>
      <c r="F233" s="5"/>
      <c r="G233" s="5"/>
      <c r="H233" s="4" t="s">
        <v>280</v>
      </c>
      <c r="I233" s="4">
        <v>230.0</v>
      </c>
      <c r="J233" s="4">
        <v>230.0</v>
      </c>
      <c r="K233" s="5">
        <v>104.0</v>
      </c>
      <c r="L233" s="5"/>
      <c r="M233" s="5"/>
      <c r="N233" s="5"/>
      <c r="O233" s="5"/>
      <c r="P233" s="5"/>
      <c r="Q233" s="5"/>
      <c r="R233" s="5"/>
      <c r="S233" s="5"/>
    </row>
    <row r="234" ht="15.75" customHeight="1">
      <c r="A234" s="4" t="s">
        <v>282</v>
      </c>
      <c r="B234" s="4">
        <v>8.0</v>
      </c>
      <c r="C234" s="4">
        <v>6.0</v>
      </c>
      <c r="D234" s="5">
        <v>6.0</v>
      </c>
      <c r="E234" s="5"/>
      <c r="F234" s="5"/>
      <c r="G234" s="5"/>
      <c r="H234" s="4" t="s">
        <v>282</v>
      </c>
      <c r="I234" s="4">
        <v>230.0</v>
      </c>
      <c r="J234" s="4">
        <v>184.0</v>
      </c>
      <c r="K234" s="5">
        <v>104.0</v>
      </c>
      <c r="L234" s="5"/>
      <c r="M234" s="5"/>
      <c r="N234" s="5"/>
      <c r="O234" s="5"/>
      <c r="P234" s="5"/>
      <c r="Q234" s="5"/>
      <c r="R234" s="5"/>
      <c r="S234" s="5"/>
    </row>
    <row r="235" ht="15.75" customHeight="1">
      <c r="A235" s="4" t="s">
        <v>284</v>
      </c>
      <c r="B235" s="4">
        <v>6.0</v>
      </c>
      <c r="C235" s="4">
        <v>6.0</v>
      </c>
      <c r="D235" s="5">
        <v>6.0</v>
      </c>
      <c r="E235" s="5"/>
      <c r="F235" s="5"/>
      <c r="G235" s="5"/>
      <c r="H235" s="4" t="s">
        <v>284</v>
      </c>
      <c r="I235" s="4">
        <v>184.0</v>
      </c>
      <c r="J235" s="4">
        <v>184.0</v>
      </c>
      <c r="K235" s="5">
        <v>104.0</v>
      </c>
      <c r="L235" s="5"/>
      <c r="M235" s="5"/>
      <c r="N235" s="5"/>
      <c r="O235" s="5"/>
      <c r="P235" s="5"/>
      <c r="Q235" s="5"/>
      <c r="R235" s="5"/>
      <c r="S235" s="5"/>
    </row>
    <row r="236" ht="15.75" customHeight="1">
      <c r="A236" s="4" t="s">
        <v>286</v>
      </c>
      <c r="B236" s="4">
        <v>6.0</v>
      </c>
      <c r="C236" s="4">
        <v>1.0</v>
      </c>
      <c r="D236" s="5">
        <v>6.0</v>
      </c>
      <c r="E236" s="5"/>
      <c r="F236" s="5"/>
      <c r="G236" s="5"/>
      <c r="H236" s="4" t="s">
        <v>286</v>
      </c>
      <c r="I236" s="4">
        <v>184.0</v>
      </c>
      <c r="J236" s="4">
        <v>138.0</v>
      </c>
      <c r="K236" s="5">
        <v>104.0</v>
      </c>
      <c r="L236" s="5"/>
      <c r="M236" s="5"/>
      <c r="N236" s="5"/>
      <c r="O236" s="5"/>
      <c r="P236" s="5"/>
      <c r="Q236" s="5"/>
      <c r="R236" s="5"/>
      <c r="S236" s="5"/>
    </row>
    <row r="237" ht="15.75" customHeight="1">
      <c r="A237" s="4" t="s">
        <v>288</v>
      </c>
      <c r="B237" s="4">
        <v>6.0</v>
      </c>
      <c r="C237" s="4">
        <v>6.0</v>
      </c>
      <c r="D237" s="5">
        <v>6.0</v>
      </c>
      <c r="E237" s="5"/>
      <c r="F237" s="5"/>
      <c r="G237" s="5"/>
      <c r="H237" s="4" t="s">
        <v>288</v>
      </c>
      <c r="I237" s="4">
        <v>138.0</v>
      </c>
      <c r="J237" s="4">
        <v>138.0</v>
      </c>
      <c r="K237" s="5">
        <v>104.0</v>
      </c>
      <c r="L237" s="5"/>
      <c r="M237" s="5"/>
      <c r="N237" s="5"/>
      <c r="O237" s="5"/>
      <c r="P237" s="5"/>
      <c r="Q237" s="5"/>
      <c r="R237" s="5"/>
      <c r="S237" s="5"/>
    </row>
    <row r="238" ht="15.75" customHeight="1">
      <c r="A238" s="4" t="s">
        <v>290</v>
      </c>
      <c r="B238" s="4">
        <v>6.0</v>
      </c>
      <c r="C238" s="4">
        <v>4.0</v>
      </c>
      <c r="D238" s="5">
        <v>6.0</v>
      </c>
      <c r="H238" s="4" t="s">
        <v>290</v>
      </c>
      <c r="I238" s="4">
        <v>138.0</v>
      </c>
      <c r="J238" s="4">
        <v>138.0</v>
      </c>
      <c r="K238" s="5">
        <v>104.0</v>
      </c>
    </row>
    <row r="239" ht="15.75" customHeight="1">
      <c r="A239" s="4" t="s">
        <v>292</v>
      </c>
      <c r="B239" s="4">
        <v>4.0</v>
      </c>
      <c r="C239" s="4">
        <v>4.0</v>
      </c>
      <c r="D239" s="5">
        <v>6.0</v>
      </c>
      <c r="H239" s="4" t="s">
        <v>292</v>
      </c>
      <c r="I239" s="4">
        <v>138.0</v>
      </c>
      <c r="J239" s="4">
        <v>138.0</v>
      </c>
      <c r="K239" s="5">
        <v>104.0</v>
      </c>
    </row>
    <row r="240" ht="15.75" customHeight="1">
      <c r="A240" s="4" t="s">
        <v>294</v>
      </c>
      <c r="B240" s="4">
        <v>4.0</v>
      </c>
      <c r="C240" s="4">
        <v>4.0</v>
      </c>
      <c r="D240" s="5">
        <v>6.0</v>
      </c>
      <c r="H240" s="4" t="s">
        <v>294</v>
      </c>
      <c r="I240" s="4">
        <v>138.0</v>
      </c>
      <c r="J240" s="4">
        <v>92.0</v>
      </c>
      <c r="K240" s="5">
        <v>104.0</v>
      </c>
    </row>
    <row r="241" ht="15.75" customHeight="1">
      <c r="A241" s="4" t="s">
        <v>296</v>
      </c>
      <c r="B241" s="4">
        <v>14.0</v>
      </c>
      <c r="C241" s="4">
        <v>14.0</v>
      </c>
      <c r="D241" s="5">
        <v>6.0</v>
      </c>
      <c r="H241" s="4" t="s">
        <v>296</v>
      </c>
      <c r="I241" s="4">
        <v>92.0</v>
      </c>
      <c r="J241" s="4">
        <v>46.0</v>
      </c>
      <c r="K241" s="5">
        <v>104.0</v>
      </c>
    </row>
    <row r="242" ht="15.75" customHeight="1">
      <c r="A242" s="4" t="s">
        <v>298</v>
      </c>
      <c r="B242" s="4">
        <v>14.0</v>
      </c>
      <c r="C242" s="4">
        <v>9.0</v>
      </c>
      <c r="D242" s="5">
        <v>6.0</v>
      </c>
      <c r="H242" s="4" t="s">
        <v>298</v>
      </c>
      <c r="I242" s="4">
        <v>230.0</v>
      </c>
      <c r="J242" s="4">
        <v>138.0</v>
      </c>
      <c r="K242" s="5">
        <v>104.0</v>
      </c>
    </row>
    <row r="243" ht="15.75" customHeight="1">
      <c r="A243" s="4" t="s">
        <v>300</v>
      </c>
      <c r="B243" s="4">
        <v>9.0</v>
      </c>
      <c r="C243" s="4">
        <v>4.0</v>
      </c>
      <c r="D243" s="5">
        <v>6.0</v>
      </c>
      <c r="H243" s="4" t="s">
        <v>300</v>
      </c>
      <c r="I243" s="4">
        <v>138.0</v>
      </c>
      <c r="J243" s="4">
        <v>92.0</v>
      </c>
      <c r="K243" s="5">
        <v>104.0</v>
      </c>
    </row>
    <row r="244" ht="15.75" customHeight="1">
      <c r="A244" s="4" t="s">
        <v>302</v>
      </c>
      <c r="B244" s="4">
        <v>9.0</v>
      </c>
      <c r="C244" s="4">
        <v>9.0</v>
      </c>
      <c r="D244" s="5">
        <v>6.0</v>
      </c>
      <c r="H244" s="4" t="s">
        <v>302</v>
      </c>
      <c r="I244" s="4">
        <v>276.0</v>
      </c>
      <c r="J244" s="4">
        <v>230.0</v>
      </c>
      <c r="K244" s="5">
        <v>104.0</v>
      </c>
    </row>
    <row r="245" ht="15.75" customHeight="1">
      <c r="A245" s="4" t="s">
        <v>304</v>
      </c>
      <c r="B245" s="4">
        <v>9.0</v>
      </c>
      <c r="C245" s="4">
        <v>9.0</v>
      </c>
      <c r="D245" s="5">
        <v>6.0</v>
      </c>
      <c r="H245" s="4" t="s">
        <v>304</v>
      </c>
      <c r="I245" s="4">
        <v>230.0</v>
      </c>
      <c r="J245" s="4">
        <v>184.0</v>
      </c>
      <c r="K245" s="5">
        <v>104.0</v>
      </c>
    </row>
    <row r="246" ht="15.75" customHeight="1">
      <c r="A246" s="4" t="s">
        <v>306</v>
      </c>
      <c r="B246" s="4">
        <v>9.0</v>
      </c>
      <c r="C246" s="4">
        <v>5.0</v>
      </c>
      <c r="D246" s="5">
        <v>6.0</v>
      </c>
      <c r="H246" s="4" t="s">
        <v>306</v>
      </c>
      <c r="I246" s="4">
        <v>184.0</v>
      </c>
      <c r="J246" s="4">
        <v>184.0</v>
      </c>
      <c r="K246" s="5">
        <v>104.0</v>
      </c>
    </row>
    <row r="247" ht="15.75" customHeight="1">
      <c r="A247" s="4" t="s">
        <v>308</v>
      </c>
      <c r="B247" s="4">
        <v>5.0</v>
      </c>
      <c r="C247" s="4">
        <v>5.0</v>
      </c>
      <c r="D247" s="5">
        <v>6.0</v>
      </c>
      <c r="H247" s="4" t="s">
        <v>308</v>
      </c>
      <c r="I247" s="4">
        <v>184.0</v>
      </c>
      <c r="J247" s="4">
        <v>184.0</v>
      </c>
      <c r="K247" s="5">
        <v>104.0</v>
      </c>
    </row>
    <row r="248" ht="15.75" customHeight="1">
      <c r="A248" s="4" t="s">
        <v>310</v>
      </c>
      <c r="B248" s="4">
        <v>10.0</v>
      </c>
      <c r="C248" s="4">
        <v>2.0</v>
      </c>
      <c r="D248" s="5">
        <v>6.0</v>
      </c>
      <c r="H248" s="4" t="s">
        <v>310</v>
      </c>
      <c r="I248" s="4">
        <v>184.0</v>
      </c>
      <c r="J248" s="4">
        <v>138.0</v>
      </c>
      <c r="K248" s="5">
        <v>104.0</v>
      </c>
    </row>
    <row r="249" ht="15.75" customHeight="1">
      <c r="A249" s="4" t="s">
        <v>312</v>
      </c>
      <c r="B249" s="4">
        <v>10.0</v>
      </c>
      <c r="C249" s="4">
        <v>10.0</v>
      </c>
      <c r="D249" s="5">
        <v>6.0</v>
      </c>
      <c r="H249" s="4" t="s">
        <v>312</v>
      </c>
      <c r="I249" s="4">
        <v>138.0</v>
      </c>
      <c r="J249" s="4">
        <v>138.0</v>
      </c>
      <c r="K249" s="5">
        <v>104.0</v>
      </c>
    </row>
    <row r="250" ht="15.75" customHeight="1">
      <c r="A250" s="4" t="s">
        <v>314</v>
      </c>
      <c r="B250" s="4">
        <v>10.0</v>
      </c>
      <c r="C250" s="4">
        <v>8.0</v>
      </c>
      <c r="D250" s="5">
        <v>6.0</v>
      </c>
      <c r="H250" s="4" t="s">
        <v>314</v>
      </c>
      <c r="I250" s="4">
        <v>138.0</v>
      </c>
      <c r="J250" s="4">
        <v>138.0</v>
      </c>
      <c r="K250" s="5">
        <v>104.0</v>
      </c>
    </row>
    <row r="251" ht="15.75" customHeight="1">
      <c r="A251" s="4" t="s">
        <v>316</v>
      </c>
      <c r="B251" s="4">
        <v>8.0</v>
      </c>
      <c r="C251" s="4">
        <v>8.0</v>
      </c>
      <c r="D251" s="5">
        <v>6.0</v>
      </c>
      <c r="H251" s="4" t="s">
        <v>316</v>
      </c>
      <c r="I251" s="4">
        <v>138.0</v>
      </c>
      <c r="J251" s="4">
        <v>46.0</v>
      </c>
      <c r="K251" s="5">
        <v>104.0</v>
      </c>
    </row>
    <row r="252" ht="15.75" customHeight="1">
      <c r="A252" s="4" t="s">
        <v>318</v>
      </c>
      <c r="B252" s="4">
        <v>8.0</v>
      </c>
      <c r="C252" s="4">
        <v>3.0</v>
      </c>
      <c r="D252" s="5">
        <v>6.0</v>
      </c>
      <c r="H252" s="4" t="s">
        <v>318</v>
      </c>
      <c r="I252" s="4">
        <v>230.0</v>
      </c>
      <c r="J252" s="4">
        <v>230.0</v>
      </c>
      <c r="K252" s="5">
        <v>104.0</v>
      </c>
    </row>
    <row r="253" ht="15.75" customHeight="1"/>
    <row r="254" ht="15.75" customHeight="1"/>
    <row r="255" ht="15.75" customHeight="1">
      <c r="A255" s="4" t="s">
        <v>367</v>
      </c>
    </row>
    <row r="256" ht="15.75" customHeight="1">
      <c r="A256" s="4" t="s">
        <v>368</v>
      </c>
      <c r="B256" s="4" t="s">
        <v>369</v>
      </c>
      <c r="C256" s="4" t="s">
        <v>370</v>
      </c>
      <c r="D256" s="4" t="s">
        <v>371</v>
      </c>
      <c r="K256" s="4" t="s">
        <v>205</v>
      </c>
      <c r="L256" s="4" t="s">
        <v>372</v>
      </c>
      <c r="M256" s="4" t="s">
        <v>6</v>
      </c>
      <c r="N256" s="4" t="s">
        <v>5</v>
      </c>
      <c r="O256" s="4" t="s">
        <v>372</v>
      </c>
    </row>
    <row r="257" ht="15.75" customHeight="1">
      <c r="A257" s="4">
        <f t="array" ref="A257:A318">SEQUENCE(62,1)</f>
        <v>1</v>
      </c>
      <c r="B257" s="103">
        <v>0.1</v>
      </c>
      <c r="C257" s="4" t="str">
        <f t="shared" ref="C257:C318" si="2">IF(B257=0, 0, NA())</f>
        <v>#N/A</v>
      </c>
      <c r="K257" s="4" t="s">
        <v>333</v>
      </c>
      <c r="L257" s="4">
        <v>8.0</v>
      </c>
      <c r="M257" s="4">
        <v>340.0</v>
      </c>
      <c r="N257" s="4">
        <v>270.0</v>
      </c>
      <c r="O257" s="4">
        <v>8.0</v>
      </c>
    </row>
    <row r="258" ht="15.75" customHeight="1">
      <c r="A258" s="4">
        <v>2.0</v>
      </c>
      <c r="B258" s="103">
        <v>0.1</v>
      </c>
      <c r="C258" s="4" t="str">
        <f t="shared" si="2"/>
        <v>#N/A</v>
      </c>
      <c r="K258" s="4" t="s">
        <v>334</v>
      </c>
      <c r="L258" s="4">
        <v>9.0</v>
      </c>
      <c r="M258" s="4">
        <v>340.0</v>
      </c>
      <c r="N258" s="4">
        <v>270.0</v>
      </c>
      <c r="O258" s="4">
        <v>9.0</v>
      </c>
    </row>
    <row r="259" ht="15.75" customHeight="1">
      <c r="A259" s="4">
        <v>3.0</v>
      </c>
      <c r="B259" s="103">
        <v>0.1</v>
      </c>
      <c r="C259" s="4" t="str">
        <f t="shared" si="2"/>
        <v>#N/A</v>
      </c>
      <c r="K259" s="4" t="s">
        <v>335</v>
      </c>
      <c r="L259" s="4">
        <v>10.0</v>
      </c>
      <c r="M259" s="4">
        <v>340.0</v>
      </c>
      <c r="N259" s="4">
        <v>270.0</v>
      </c>
      <c r="O259" s="4">
        <v>10.0</v>
      </c>
    </row>
    <row r="260" ht="15.75" customHeight="1">
      <c r="A260" s="4">
        <v>4.0</v>
      </c>
      <c r="B260" s="103">
        <v>0.1</v>
      </c>
      <c r="C260" s="4" t="str">
        <f t="shared" si="2"/>
        <v>#N/A</v>
      </c>
      <c r="K260" s="4" t="s">
        <v>335</v>
      </c>
      <c r="L260" s="4">
        <v>10.0</v>
      </c>
      <c r="M260" s="4">
        <v>330.0</v>
      </c>
      <c r="N260" s="4">
        <v>270.0</v>
      </c>
      <c r="O260" s="4">
        <v>10.0</v>
      </c>
    </row>
    <row r="261" ht="15.75" customHeight="1">
      <c r="A261" s="4">
        <v>5.0</v>
      </c>
      <c r="B261" s="103">
        <v>0.1</v>
      </c>
      <c r="C261" s="4" t="str">
        <f t="shared" si="2"/>
        <v>#N/A</v>
      </c>
      <c r="K261" s="4" t="s">
        <v>338</v>
      </c>
      <c r="L261" s="4">
        <v>11.0</v>
      </c>
      <c r="M261" s="4">
        <v>320.0</v>
      </c>
      <c r="N261" s="4">
        <v>270.0</v>
      </c>
      <c r="O261" s="4">
        <v>11.0</v>
      </c>
    </row>
    <row r="262" ht="15.75" customHeight="1">
      <c r="A262" s="4">
        <v>6.0</v>
      </c>
      <c r="B262" s="103">
        <v>0.1</v>
      </c>
      <c r="C262" s="4" t="str">
        <f t="shared" si="2"/>
        <v>#N/A</v>
      </c>
      <c r="K262" s="4" t="s">
        <v>338</v>
      </c>
      <c r="L262" s="4">
        <v>11.0</v>
      </c>
      <c r="M262" s="4">
        <v>330.0</v>
      </c>
      <c r="N262" s="4">
        <v>270.0</v>
      </c>
      <c r="O262" s="4">
        <v>11.0</v>
      </c>
    </row>
    <row r="263" ht="15.75" customHeight="1">
      <c r="A263" s="4">
        <v>7.0</v>
      </c>
      <c r="B263" s="103">
        <v>0.1</v>
      </c>
      <c r="C263" s="4" t="str">
        <f t="shared" si="2"/>
        <v>#N/A</v>
      </c>
      <c r="K263" s="4" t="s">
        <v>338</v>
      </c>
      <c r="L263" s="4">
        <v>11.0</v>
      </c>
      <c r="M263" s="4">
        <v>340.0</v>
      </c>
      <c r="N263" s="4">
        <v>270.0</v>
      </c>
      <c r="O263" s="4">
        <v>11.0</v>
      </c>
    </row>
    <row r="264" ht="15.75" customHeight="1">
      <c r="A264" s="4">
        <v>8.0</v>
      </c>
      <c r="B264" s="103">
        <v>0.1</v>
      </c>
      <c r="C264" s="4" t="str">
        <f t="shared" si="2"/>
        <v>#N/A</v>
      </c>
      <c r="K264" s="4" t="s">
        <v>340</v>
      </c>
      <c r="L264" s="4">
        <v>12.0</v>
      </c>
      <c r="M264" s="4">
        <v>340.0</v>
      </c>
      <c r="N264" s="4">
        <v>270.0</v>
      </c>
      <c r="O264" s="4">
        <v>12.0</v>
      </c>
    </row>
    <row r="265" ht="15.75" customHeight="1">
      <c r="A265" s="4">
        <v>9.0</v>
      </c>
      <c r="B265" s="103">
        <v>0.1</v>
      </c>
      <c r="C265" s="4" t="str">
        <f t="shared" si="2"/>
        <v>#N/A</v>
      </c>
      <c r="K265" s="4" t="s">
        <v>340</v>
      </c>
      <c r="L265" s="4">
        <v>12.0</v>
      </c>
      <c r="M265" s="4">
        <v>320.0</v>
      </c>
      <c r="N265" s="4">
        <v>260.0</v>
      </c>
      <c r="O265" s="4">
        <v>12.0</v>
      </c>
    </row>
    <row r="266" ht="15.75" customHeight="1">
      <c r="A266" s="4">
        <v>10.0</v>
      </c>
      <c r="B266" s="103">
        <v>0.1</v>
      </c>
      <c r="C266" s="4" t="str">
        <f t="shared" si="2"/>
        <v>#N/A</v>
      </c>
      <c r="K266" s="4" t="s">
        <v>341</v>
      </c>
      <c r="L266" s="4">
        <v>13.0</v>
      </c>
      <c r="M266" s="4">
        <v>320.0</v>
      </c>
      <c r="N266" s="4">
        <v>260.0</v>
      </c>
      <c r="O266" s="4">
        <v>13.0</v>
      </c>
    </row>
    <row r="267" ht="15.75" customHeight="1">
      <c r="A267" s="4">
        <v>11.0</v>
      </c>
      <c r="B267" s="103">
        <v>0.1</v>
      </c>
      <c r="C267" s="4" t="str">
        <f t="shared" si="2"/>
        <v>#N/A</v>
      </c>
    </row>
    <row r="268" ht="15.75" customHeight="1">
      <c r="A268" s="4">
        <v>12.0</v>
      </c>
      <c r="B268" s="103">
        <v>0.1</v>
      </c>
      <c r="C268" s="4" t="str">
        <f t="shared" si="2"/>
        <v>#N/A</v>
      </c>
    </row>
    <row r="269" ht="15.75" customHeight="1">
      <c r="A269" s="4">
        <v>13.0</v>
      </c>
      <c r="B269" s="103">
        <v>0.1</v>
      </c>
      <c r="C269" s="4" t="str">
        <f t="shared" si="2"/>
        <v>#N/A</v>
      </c>
    </row>
    <row r="270" ht="15.75" customHeight="1">
      <c r="A270" s="4">
        <v>14.0</v>
      </c>
      <c r="B270" s="103">
        <v>0.1</v>
      </c>
      <c r="C270" s="4" t="str">
        <f t="shared" si="2"/>
        <v>#N/A</v>
      </c>
    </row>
    <row r="271" ht="15.75" customHeight="1">
      <c r="A271" s="4">
        <v>15.0</v>
      </c>
      <c r="B271" s="103">
        <v>0.1</v>
      </c>
      <c r="C271" s="4" t="str">
        <f t="shared" si="2"/>
        <v>#N/A</v>
      </c>
    </row>
    <row r="272" ht="15.75" customHeight="1">
      <c r="A272" s="4">
        <v>16.0</v>
      </c>
      <c r="B272" s="103">
        <v>0.1111111111</v>
      </c>
      <c r="C272" s="4" t="str">
        <f t="shared" si="2"/>
        <v>#N/A</v>
      </c>
    </row>
    <row r="273" ht="15.75" customHeight="1">
      <c r="A273" s="4">
        <v>17.0</v>
      </c>
      <c r="B273" s="103">
        <v>0.1111111111</v>
      </c>
      <c r="C273" s="4" t="str">
        <f t="shared" si="2"/>
        <v>#N/A</v>
      </c>
    </row>
    <row r="274" ht="15.75" customHeight="1">
      <c r="A274" s="4">
        <v>18.0</v>
      </c>
      <c r="B274" s="103">
        <v>0.1</v>
      </c>
      <c r="C274" s="4" t="str">
        <f t="shared" si="2"/>
        <v>#N/A</v>
      </c>
    </row>
    <row r="275" ht="15.75" customHeight="1">
      <c r="A275" s="4">
        <v>19.0</v>
      </c>
      <c r="B275" s="103">
        <v>0.1111</v>
      </c>
      <c r="C275" s="4" t="str">
        <f t="shared" si="2"/>
        <v>#N/A</v>
      </c>
    </row>
    <row r="276" ht="15.75" customHeight="1">
      <c r="A276" s="4">
        <v>20.0</v>
      </c>
      <c r="B276" s="103">
        <v>0.1</v>
      </c>
      <c r="C276" s="4" t="str">
        <f t="shared" si="2"/>
        <v>#N/A</v>
      </c>
    </row>
    <row r="277" ht="15.75" customHeight="1">
      <c r="A277" s="4">
        <v>21.0</v>
      </c>
      <c r="B277" s="103">
        <v>0.1111</v>
      </c>
      <c r="C277" s="4" t="str">
        <f t="shared" si="2"/>
        <v>#N/A</v>
      </c>
    </row>
    <row r="278" ht="15.75" customHeight="1">
      <c r="A278" s="4">
        <v>22.0</v>
      </c>
      <c r="B278" s="103">
        <v>0.0</v>
      </c>
      <c r="C278" s="4">
        <f t="shared" si="2"/>
        <v>0</v>
      </c>
    </row>
    <row r="279" ht="15.75" customHeight="1">
      <c r="A279" s="4">
        <v>23.0</v>
      </c>
      <c r="B279" s="103">
        <v>0.0</v>
      </c>
      <c r="C279" s="4">
        <f t="shared" si="2"/>
        <v>0</v>
      </c>
    </row>
    <row r="280" ht="15.75" customHeight="1">
      <c r="A280" s="4">
        <v>24.0</v>
      </c>
      <c r="B280" s="103">
        <v>0.0</v>
      </c>
      <c r="C280" s="4">
        <f t="shared" si="2"/>
        <v>0</v>
      </c>
    </row>
    <row r="281" ht="15.75" customHeight="1">
      <c r="A281" s="4">
        <v>25.0</v>
      </c>
      <c r="B281" s="103">
        <v>0.0</v>
      </c>
      <c r="C281" s="4">
        <f t="shared" si="2"/>
        <v>0</v>
      </c>
    </row>
    <row r="282" ht="15.75" customHeight="1">
      <c r="A282" s="4">
        <v>26.0</v>
      </c>
      <c r="B282" s="103">
        <v>0.0</v>
      </c>
      <c r="C282" s="4">
        <f t="shared" si="2"/>
        <v>0</v>
      </c>
    </row>
    <row r="283" ht="15.75" customHeight="1">
      <c r="A283" s="4">
        <v>27.0</v>
      </c>
      <c r="B283" s="103">
        <v>0.1111</v>
      </c>
      <c r="C283" s="4" t="str">
        <f t="shared" si="2"/>
        <v>#N/A</v>
      </c>
    </row>
    <row r="284" ht="15.75" customHeight="1">
      <c r="A284" s="4">
        <v>28.0</v>
      </c>
      <c r="B284" s="103">
        <v>0.0</v>
      </c>
      <c r="C284" s="4">
        <f t="shared" si="2"/>
        <v>0</v>
      </c>
    </row>
    <row r="285" ht="15.75" customHeight="1">
      <c r="A285" s="4">
        <v>29.0</v>
      </c>
      <c r="B285" s="103">
        <v>0.0</v>
      </c>
      <c r="C285" s="4">
        <f t="shared" si="2"/>
        <v>0</v>
      </c>
    </row>
    <row r="286" ht="15.75" customHeight="1">
      <c r="A286" s="4">
        <v>30.0</v>
      </c>
      <c r="B286" s="103">
        <v>0.1111</v>
      </c>
      <c r="C286" s="4" t="str">
        <f t="shared" si="2"/>
        <v>#N/A</v>
      </c>
    </row>
    <row r="287" ht="15.75" customHeight="1">
      <c r="A287" s="4">
        <v>31.0</v>
      </c>
      <c r="B287" s="103">
        <v>0.1111</v>
      </c>
      <c r="C287" s="4" t="str">
        <f t="shared" si="2"/>
        <v>#N/A</v>
      </c>
    </row>
    <row r="288" ht="15.75" customHeight="1">
      <c r="A288" s="4">
        <v>32.0</v>
      </c>
      <c r="B288" s="103">
        <v>0.1111</v>
      </c>
      <c r="C288" s="4" t="str">
        <f t="shared" si="2"/>
        <v>#N/A</v>
      </c>
    </row>
    <row r="289" ht="15.75" customHeight="1">
      <c r="A289" s="4">
        <v>33.0</v>
      </c>
      <c r="B289" s="103">
        <v>0.1111</v>
      </c>
      <c r="C289" s="4" t="str">
        <f t="shared" si="2"/>
        <v>#N/A</v>
      </c>
    </row>
    <row r="290" ht="15.75" customHeight="1">
      <c r="A290" s="4">
        <v>34.0</v>
      </c>
      <c r="B290" s="103">
        <v>0.1111</v>
      </c>
      <c r="C290" s="4" t="str">
        <f t="shared" si="2"/>
        <v>#N/A</v>
      </c>
    </row>
    <row r="291" ht="15.75" customHeight="1">
      <c r="A291" s="4">
        <v>35.0</v>
      </c>
      <c r="B291" s="103">
        <v>0.1111</v>
      </c>
      <c r="C291" s="4" t="str">
        <f t="shared" si="2"/>
        <v>#N/A</v>
      </c>
    </row>
    <row r="292" ht="15.75" customHeight="1">
      <c r="A292" s="4">
        <v>36.0</v>
      </c>
      <c r="B292" s="103">
        <v>0.1111</v>
      </c>
      <c r="C292" s="4" t="str">
        <f t="shared" si="2"/>
        <v>#N/A</v>
      </c>
    </row>
    <row r="293" ht="15.75" customHeight="1">
      <c r="A293" s="4">
        <v>37.0</v>
      </c>
      <c r="B293" s="103">
        <v>0.1111</v>
      </c>
      <c r="C293" s="4" t="str">
        <f t="shared" si="2"/>
        <v>#N/A</v>
      </c>
    </row>
    <row r="294" ht="15.75" customHeight="1">
      <c r="A294" s="4">
        <v>38.0</v>
      </c>
      <c r="B294" s="103">
        <v>0.1111</v>
      </c>
      <c r="C294" s="4" t="str">
        <f t="shared" si="2"/>
        <v>#N/A</v>
      </c>
    </row>
    <row r="295" ht="15.75" customHeight="1">
      <c r="A295" s="4">
        <v>39.0</v>
      </c>
      <c r="B295" s="103">
        <v>0.1111</v>
      </c>
      <c r="C295" s="4" t="str">
        <f t="shared" si="2"/>
        <v>#N/A</v>
      </c>
    </row>
    <row r="296" ht="15.75" customHeight="1">
      <c r="A296" s="4">
        <v>40.0</v>
      </c>
      <c r="B296" s="103">
        <v>0.1111</v>
      </c>
      <c r="C296" s="4" t="str">
        <f t="shared" si="2"/>
        <v>#N/A</v>
      </c>
    </row>
    <row r="297" ht="15.75" customHeight="1">
      <c r="A297" s="4">
        <v>41.0</v>
      </c>
      <c r="B297" s="103">
        <v>0.0</v>
      </c>
      <c r="C297" s="4">
        <f t="shared" si="2"/>
        <v>0</v>
      </c>
    </row>
    <row r="298" ht="15.75" customHeight="1">
      <c r="A298" s="4">
        <v>42.0</v>
      </c>
      <c r="B298" s="103">
        <v>0.1111</v>
      </c>
      <c r="C298" s="4" t="str">
        <f t="shared" si="2"/>
        <v>#N/A</v>
      </c>
    </row>
    <row r="299" ht="15.75" customHeight="1">
      <c r="A299" s="4">
        <v>43.0</v>
      </c>
      <c r="B299" s="103">
        <v>0.1111</v>
      </c>
      <c r="C299" s="4" t="str">
        <f t="shared" si="2"/>
        <v>#N/A</v>
      </c>
    </row>
    <row r="300" ht="15.75" customHeight="1">
      <c r="A300" s="4">
        <v>44.0</v>
      </c>
      <c r="B300" s="103">
        <v>0.1111</v>
      </c>
      <c r="C300" s="4" t="str">
        <f t="shared" si="2"/>
        <v>#N/A</v>
      </c>
    </row>
    <row r="301" ht="15.75" customHeight="1">
      <c r="A301" s="4">
        <v>45.0</v>
      </c>
      <c r="B301" s="103">
        <v>0.1111</v>
      </c>
      <c r="C301" s="4" t="str">
        <f t="shared" si="2"/>
        <v>#N/A</v>
      </c>
    </row>
    <row r="302" ht="15.75" customHeight="1">
      <c r="A302" s="4">
        <v>46.0</v>
      </c>
      <c r="B302" s="103">
        <v>0.1111</v>
      </c>
      <c r="C302" s="4" t="str">
        <f t="shared" si="2"/>
        <v>#N/A</v>
      </c>
    </row>
    <row r="303" ht="15.75" customHeight="1">
      <c r="A303" s="4">
        <v>47.0</v>
      </c>
      <c r="B303" s="103">
        <v>0.1111</v>
      </c>
      <c r="C303" s="4" t="str">
        <f t="shared" si="2"/>
        <v>#N/A</v>
      </c>
    </row>
    <row r="304" ht="15.75" customHeight="1">
      <c r="A304" s="4">
        <v>48.0</v>
      </c>
      <c r="B304" s="103">
        <v>0.1111</v>
      </c>
      <c r="C304" s="4" t="str">
        <f t="shared" si="2"/>
        <v>#N/A</v>
      </c>
    </row>
    <row r="305" ht="15.75" customHeight="1">
      <c r="A305" s="4">
        <v>49.0</v>
      </c>
      <c r="B305" s="103">
        <v>0.1111</v>
      </c>
      <c r="C305" s="4" t="str">
        <f t="shared" si="2"/>
        <v>#N/A</v>
      </c>
    </row>
    <row r="306" ht="15.75" customHeight="1">
      <c r="A306" s="4">
        <v>50.0</v>
      </c>
      <c r="B306" s="103">
        <v>0.1111</v>
      </c>
      <c r="C306" s="4" t="str">
        <f t="shared" si="2"/>
        <v>#N/A</v>
      </c>
    </row>
    <row r="307" ht="15.75" customHeight="1">
      <c r="A307" s="4">
        <v>51.0</v>
      </c>
      <c r="B307" s="103">
        <v>0.1111</v>
      </c>
      <c r="C307" s="4" t="str">
        <f t="shared" si="2"/>
        <v>#N/A</v>
      </c>
    </row>
    <row r="308" ht="15.75" customHeight="1">
      <c r="A308" s="4">
        <v>52.0</v>
      </c>
      <c r="B308" s="103">
        <v>0.1111</v>
      </c>
      <c r="C308" s="4" t="str">
        <f t="shared" si="2"/>
        <v>#N/A</v>
      </c>
    </row>
    <row r="309" ht="15.75" customHeight="1">
      <c r="A309" s="4">
        <v>53.0</v>
      </c>
      <c r="B309" s="103">
        <v>0.1111</v>
      </c>
      <c r="C309" s="4" t="str">
        <f t="shared" si="2"/>
        <v>#N/A</v>
      </c>
    </row>
    <row r="310" ht="15.75" customHeight="1">
      <c r="A310" s="4">
        <v>54.0</v>
      </c>
      <c r="B310" s="103">
        <v>0.1111</v>
      </c>
      <c r="C310" s="4" t="str">
        <f t="shared" si="2"/>
        <v>#N/A</v>
      </c>
    </row>
    <row r="311" ht="15.75" customHeight="1">
      <c r="A311" s="4">
        <v>55.0</v>
      </c>
      <c r="B311" s="103">
        <v>0.1111</v>
      </c>
      <c r="C311" s="4" t="str">
        <f t="shared" si="2"/>
        <v>#N/A</v>
      </c>
    </row>
    <row r="312" ht="15.75" customHeight="1">
      <c r="A312" s="4">
        <v>56.0</v>
      </c>
      <c r="B312" s="103">
        <v>0.1</v>
      </c>
      <c r="C312" s="4" t="str">
        <f t="shared" si="2"/>
        <v>#N/A</v>
      </c>
    </row>
    <row r="313" ht="15.75" customHeight="1">
      <c r="A313" s="4">
        <v>57.0</v>
      </c>
      <c r="B313" s="103">
        <v>0.1</v>
      </c>
      <c r="C313" s="4" t="str">
        <f t="shared" si="2"/>
        <v>#N/A</v>
      </c>
    </row>
    <row r="314" ht="15.75" customHeight="1">
      <c r="A314" s="4">
        <v>58.0</v>
      </c>
      <c r="B314" s="103">
        <v>0.1</v>
      </c>
      <c r="C314" s="4" t="str">
        <f t="shared" si="2"/>
        <v>#N/A</v>
      </c>
    </row>
    <row r="315" ht="15.75" customHeight="1">
      <c r="A315" s="4">
        <v>59.0</v>
      </c>
      <c r="B315" s="103">
        <v>0.0</v>
      </c>
      <c r="C315" s="4">
        <f t="shared" si="2"/>
        <v>0</v>
      </c>
    </row>
    <row r="316" ht="15.75" customHeight="1">
      <c r="A316" s="4">
        <v>60.0</v>
      </c>
      <c r="B316" s="103">
        <v>0.1</v>
      </c>
      <c r="C316" s="4" t="str">
        <f t="shared" si="2"/>
        <v>#N/A</v>
      </c>
    </row>
    <row r="317" ht="15.75" customHeight="1">
      <c r="A317" s="4">
        <v>61.0</v>
      </c>
      <c r="B317" s="103">
        <v>0.1</v>
      </c>
      <c r="C317" s="4" t="str">
        <f t="shared" si="2"/>
        <v>#N/A</v>
      </c>
    </row>
    <row r="318" ht="15.75" customHeight="1">
      <c r="A318" s="4">
        <v>62.0</v>
      </c>
      <c r="B318" s="103">
        <v>0.1</v>
      </c>
      <c r="C318" s="4" t="str">
        <f t="shared" si="2"/>
        <v>#N/A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B135:AC135"/>
    <mergeCell ref="AD135:AE135"/>
    <mergeCell ref="AF135:AG135"/>
    <mergeCell ref="A47:AE48"/>
    <mergeCell ref="A50:C50"/>
    <mergeCell ref="A134:D134"/>
    <mergeCell ref="C135:M135"/>
    <mergeCell ref="N135:S135"/>
    <mergeCell ref="T135:Y135"/>
    <mergeCell ref="Z135:AA135"/>
    <mergeCell ref="T136:U136"/>
    <mergeCell ref="V136:W136"/>
    <mergeCell ref="X136:Y136"/>
    <mergeCell ref="Z136:AA136"/>
    <mergeCell ref="AB136:AC136"/>
    <mergeCell ref="AD136:AE136"/>
    <mergeCell ref="AF136:AG136"/>
    <mergeCell ref="C136:D136"/>
    <mergeCell ref="F136:G136"/>
    <mergeCell ref="I136:J136"/>
    <mergeCell ref="L136:M136"/>
    <mergeCell ref="N136:O136"/>
    <mergeCell ref="P136:Q136"/>
    <mergeCell ref="R136:S136"/>
    <mergeCell ref="A255:H255"/>
  </mergeCells>
  <printOptions/>
  <pageMargins bottom="1.0" footer="0.0" header="0.0" left="0.75" right="0.75" top="1.0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75"/>
    <col customWidth="1" min="4" max="4" width="41.88"/>
    <col customWidth="1" min="5" max="6" width="12.63"/>
  </cols>
  <sheetData>
    <row r="1">
      <c r="A1" s="4" t="s">
        <v>332</v>
      </c>
      <c r="B1" s="4" t="s">
        <v>7</v>
      </c>
      <c r="C1" s="4" t="s">
        <v>8</v>
      </c>
    </row>
    <row r="2">
      <c r="A2" s="4" t="s">
        <v>333</v>
      </c>
      <c r="B2" s="4">
        <v>337786.0</v>
      </c>
      <c r="C2" s="4">
        <v>49794.0</v>
      </c>
      <c r="L2" s="104" t="s">
        <v>205</v>
      </c>
      <c r="M2" s="104" t="s">
        <v>12</v>
      </c>
      <c r="N2" s="104" t="s">
        <v>373</v>
      </c>
      <c r="O2" s="104" t="s">
        <v>18</v>
      </c>
      <c r="P2" s="104" t="s">
        <v>374</v>
      </c>
      <c r="Q2" s="104" t="s">
        <v>375</v>
      </c>
    </row>
    <row r="3">
      <c r="A3" s="4" t="s">
        <v>334</v>
      </c>
      <c r="B3" s="4">
        <v>372451.0</v>
      </c>
      <c r="C3" s="4">
        <v>45863.0</v>
      </c>
      <c r="L3" s="105" t="s">
        <v>208</v>
      </c>
      <c r="M3" s="106">
        <v>156870.0</v>
      </c>
      <c r="N3" s="106">
        <v>112436.0</v>
      </c>
      <c r="O3" s="106">
        <v>36740.0</v>
      </c>
      <c r="P3" s="106">
        <v>30980.0</v>
      </c>
      <c r="Q3" s="106">
        <f t="shared" ref="Q3:Q8" si="1">SUM(M3:P3)</f>
        <v>337026</v>
      </c>
    </row>
    <row r="4">
      <c r="A4" s="4" t="s">
        <v>335</v>
      </c>
      <c r="B4" s="4">
        <v>369845.0</v>
      </c>
      <c r="C4" s="4">
        <v>50566.0</v>
      </c>
      <c r="I4" s="4" t="s">
        <v>1</v>
      </c>
      <c r="J4" s="4" t="s">
        <v>376</v>
      </c>
      <c r="L4" s="105" t="s">
        <v>209</v>
      </c>
      <c r="M4" s="106">
        <v>142890.0</v>
      </c>
      <c r="N4" s="106">
        <v>156769.0</v>
      </c>
      <c r="O4" s="106">
        <v>27857.0</v>
      </c>
      <c r="P4" s="106">
        <v>42955.0</v>
      </c>
      <c r="Q4" s="106">
        <f t="shared" si="1"/>
        <v>370471</v>
      </c>
    </row>
    <row r="5">
      <c r="A5" s="4" t="s">
        <v>338</v>
      </c>
      <c r="B5" s="4">
        <v>518682.0</v>
      </c>
      <c r="C5" s="4">
        <v>77245.0</v>
      </c>
      <c r="I5" s="4" t="s">
        <v>11</v>
      </c>
      <c r="J5" s="107">
        <v>19.38</v>
      </c>
      <c r="L5" s="105" t="s">
        <v>212</v>
      </c>
      <c r="M5" s="106">
        <v>161840.0</v>
      </c>
      <c r="N5" s="106">
        <v>123659.0</v>
      </c>
      <c r="O5" s="106">
        <v>34886.0</v>
      </c>
      <c r="P5" s="106">
        <v>49460.0</v>
      </c>
      <c r="Q5" s="106">
        <f t="shared" si="1"/>
        <v>369845</v>
      </c>
    </row>
    <row r="6">
      <c r="A6" s="4" t="s">
        <v>340</v>
      </c>
      <c r="B6" s="4">
        <v>426072.0</v>
      </c>
      <c r="C6" s="4">
        <v>57994.0</v>
      </c>
      <c r="I6" s="4" t="s">
        <v>15</v>
      </c>
      <c r="J6" s="107">
        <v>15.62</v>
      </c>
      <c r="L6" s="105" t="s">
        <v>218</v>
      </c>
      <c r="M6" s="106">
        <v>245900.0</v>
      </c>
      <c r="N6" s="106">
        <v>136009.0</v>
      </c>
      <c r="O6" s="106">
        <v>52473.0</v>
      </c>
      <c r="P6" s="106">
        <v>84680.0</v>
      </c>
      <c r="Q6" s="106">
        <f t="shared" si="1"/>
        <v>519062</v>
      </c>
    </row>
    <row r="7">
      <c r="A7" s="4" t="s">
        <v>341</v>
      </c>
      <c r="B7" s="4">
        <v>615458.0</v>
      </c>
      <c r="C7" s="4">
        <v>90822.0</v>
      </c>
      <c r="I7" s="4" t="s">
        <v>14</v>
      </c>
      <c r="J7" s="107">
        <v>17.16</v>
      </c>
      <c r="L7" s="105" t="s">
        <v>219</v>
      </c>
      <c r="M7" s="106">
        <v>163440.0</v>
      </c>
      <c r="N7" s="106">
        <v>144212.0</v>
      </c>
      <c r="O7" s="106">
        <v>41120.0</v>
      </c>
      <c r="P7" s="106">
        <v>77300.0</v>
      </c>
      <c r="Q7" s="106">
        <f t="shared" si="1"/>
        <v>426072</v>
      </c>
    </row>
    <row r="8">
      <c r="A8" s="4" t="s">
        <v>342</v>
      </c>
      <c r="B8" s="4">
        <v>2640294.0</v>
      </c>
      <c r="C8" s="4">
        <v>372284.0</v>
      </c>
      <c r="I8" s="4" t="s">
        <v>40</v>
      </c>
      <c r="J8" s="107">
        <v>13.13</v>
      </c>
      <c r="L8" s="105" t="s">
        <v>221</v>
      </c>
      <c r="M8" s="106">
        <v>220395.0</v>
      </c>
      <c r="N8" s="106">
        <v>89358.0</v>
      </c>
      <c r="O8" s="106">
        <v>22520.0</v>
      </c>
      <c r="P8" s="106">
        <v>24020.0</v>
      </c>
      <c r="Q8" s="106">
        <f t="shared" si="1"/>
        <v>356293</v>
      </c>
    </row>
    <row r="9">
      <c r="I9" s="4" t="s">
        <v>377</v>
      </c>
      <c r="J9" s="107">
        <v>6.78</v>
      </c>
      <c r="L9" s="105" t="s">
        <v>342</v>
      </c>
      <c r="M9" s="106">
        <f t="shared" ref="M9:Q9" si="2">SUM(M3:M8)</f>
        <v>1091335</v>
      </c>
      <c r="N9" s="106">
        <f t="shared" si="2"/>
        <v>762443</v>
      </c>
      <c r="O9" s="106">
        <f t="shared" si="2"/>
        <v>215596</v>
      </c>
      <c r="P9" s="106">
        <f t="shared" si="2"/>
        <v>309395</v>
      </c>
      <c r="Q9" s="106">
        <f t="shared" si="2"/>
        <v>2378769</v>
      </c>
    </row>
    <row r="10">
      <c r="I10" s="4" t="s">
        <v>378</v>
      </c>
      <c r="J10" s="107">
        <v>5.86</v>
      </c>
    </row>
    <row r="11">
      <c r="I11" s="4" t="s">
        <v>379</v>
      </c>
      <c r="J11" s="107">
        <v>5.45</v>
      </c>
    </row>
    <row r="12">
      <c r="I12" s="4" t="s">
        <v>355</v>
      </c>
      <c r="J12" s="107">
        <v>33.33</v>
      </c>
    </row>
    <row r="13">
      <c r="I13" s="4" t="s">
        <v>380</v>
      </c>
      <c r="J13" s="107">
        <v>33.33</v>
      </c>
    </row>
    <row r="14">
      <c r="I14" s="4" t="s">
        <v>357</v>
      </c>
      <c r="J14" s="107">
        <v>9.08</v>
      </c>
    </row>
    <row r="15">
      <c r="I15" s="4" t="s">
        <v>29</v>
      </c>
      <c r="J15" s="107">
        <v>14.29</v>
      </c>
    </row>
    <row r="16">
      <c r="I16" s="4" t="s">
        <v>26</v>
      </c>
      <c r="J16" s="107">
        <v>18.18</v>
      </c>
    </row>
    <row r="17">
      <c r="I17" s="4" t="s">
        <v>43</v>
      </c>
      <c r="J17" s="107">
        <v>10.0</v>
      </c>
    </row>
    <row r="18">
      <c r="I18" s="4" t="s">
        <v>262</v>
      </c>
      <c r="J18" s="107">
        <v>7.81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B39" s="108" t="s">
        <v>381</v>
      </c>
      <c r="C39" s="108" t="s">
        <v>336</v>
      </c>
      <c r="D39" s="108" t="s">
        <v>382</v>
      </c>
      <c r="E39" s="109"/>
    </row>
    <row r="40" ht="15.75" customHeight="1">
      <c r="B40" s="110" t="s">
        <v>0</v>
      </c>
      <c r="C40" s="110" t="s">
        <v>383</v>
      </c>
      <c r="D40" s="110" t="s">
        <v>384</v>
      </c>
    </row>
    <row r="41" ht="15.75" customHeight="1">
      <c r="B41" s="110" t="s">
        <v>1</v>
      </c>
      <c r="C41" s="110" t="s">
        <v>385</v>
      </c>
      <c r="D41" s="110" t="s">
        <v>386</v>
      </c>
    </row>
    <row r="42" ht="15.75" customHeight="1">
      <c r="B42" s="110" t="s">
        <v>2</v>
      </c>
      <c r="C42" s="110" t="s">
        <v>385</v>
      </c>
      <c r="D42" s="110" t="s">
        <v>387</v>
      </c>
    </row>
    <row r="43" ht="15.75" customHeight="1">
      <c r="B43" s="110" t="s">
        <v>3</v>
      </c>
      <c r="C43" s="110" t="s">
        <v>388</v>
      </c>
      <c r="D43" s="110" t="s">
        <v>389</v>
      </c>
    </row>
    <row r="44" ht="15.75" customHeight="1">
      <c r="B44" s="110" t="s">
        <v>4</v>
      </c>
      <c r="C44" s="110" t="s">
        <v>385</v>
      </c>
      <c r="D44" s="110" t="s">
        <v>390</v>
      </c>
    </row>
    <row r="45" ht="15.75" customHeight="1">
      <c r="B45" s="110" t="s">
        <v>5</v>
      </c>
      <c r="C45" s="110" t="s">
        <v>388</v>
      </c>
      <c r="D45" s="110" t="s">
        <v>391</v>
      </c>
    </row>
    <row r="46" ht="15.75" customHeight="1">
      <c r="B46" s="110" t="s">
        <v>6</v>
      </c>
      <c r="C46" s="110" t="s">
        <v>388</v>
      </c>
      <c r="D46" s="110" t="s">
        <v>391</v>
      </c>
    </row>
    <row r="47" ht="15.75" customHeight="1">
      <c r="B47" s="110" t="s">
        <v>392</v>
      </c>
      <c r="C47" s="110" t="s">
        <v>388</v>
      </c>
      <c r="D47" s="110" t="s">
        <v>393</v>
      </c>
    </row>
    <row r="48" ht="15.75" customHeight="1">
      <c r="B48" s="110" t="s">
        <v>8</v>
      </c>
      <c r="C48" s="110" t="s">
        <v>388</v>
      </c>
      <c r="D48" s="110" t="s">
        <v>394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